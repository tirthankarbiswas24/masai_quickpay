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s_raw" sheetId="1" r:id="rId4"/>
  </sheets>
  <definedNames>
    <definedName hidden="1" localSheetId="0" name="_xlnm._FilterDatabase">transactions_raw!$A$1:$AG$31</definedName>
  </definedNames>
  <calcPr/>
  <extLst>
    <ext uri="GoogleSheetsCustomDataVersion2">
      <go:sheetsCustomData xmlns:go="http://customooxmlschemas.google.com/" r:id="rId5" roundtripDataChecksum="3ngH2JSPQMnBKfXQCpvHVXq72t0rzeNc3RGo7Oikd+Y="/>
    </ext>
  </extLst>
</workbook>
</file>

<file path=xl/sharedStrings.xml><?xml version="1.0" encoding="utf-8"?>
<sst xmlns="http://schemas.openxmlformats.org/spreadsheetml/2006/main" count="237" uniqueCount="110">
  <si>
    <t>transaction_id</t>
  </si>
  <si>
    <t>transaction_date</t>
  </si>
  <si>
    <t>transaction_date_cleaned</t>
  </si>
  <si>
    <t>merchant_name</t>
  </si>
  <si>
    <t>merchant_name_cleaned</t>
  </si>
  <si>
    <t>raw_amount</t>
  </si>
  <si>
    <t>currency_value_in_USD</t>
  </si>
  <si>
    <t>raw_amount_USD</t>
  </si>
  <si>
    <t>currency</t>
  </si>
  <si>
    <t>status</t>
  </si>
  <si>
    <t>status_cleaned</t>
  </si>
  <si>
    <t>risk_score</t>
  </si>
  <si>
    <t>risk_score_cleaned</t>
  </si>
  <si>
    <t>gateway_region</t>
  </si>
  <si>
    <t>gateway_region_cleaned</t>
  </si>
  <si>
    <t>user_id</t>
  </si>
  <si>
    <t>payment_method</t>
  </si>
  <si>
    <t>high_value_flag</t>
  </si>
  <si>
    <t>high_risk_flag</t>
  </si>
  <si>
    <t>T001</t>
  </si>
  <si>
    <t>alpha mart</t>
  </si>
  <si>
    <t>INR</t>
  </si>
  <si>
    <t>captured</t>
  </si>
  <si>
    <t>score:62</t>
  </si>
  <si>
    <t>APAC</t>
  </si>
  <si>
    <t>U001</t>
  </si>
  <si>
    <t>UPI</t>
  </si>
  <si>
    <t>T002</t>
  </si>
  <si>
    <t>ALPHA MART</t>
  </si>
  <si>
    <t>Captured</t>
  </si>
  <si>
    <t>U002</t>
  </si>
  <si>
    <t>Card</t>
  </si>
  <si>
    <t>T003</t>
  </si>
  <si>
    <t>BETA STORES</t>
  </si>
  <si>
    <t>CAPTURED</t>
  </si>
  <si>
    <t>U003</t>
  </si>
  <si>
    <t>NetBanking</t>
  </si>
  <si>
    <t>T004</t>
  </si>
  <si>
    <t>Beta  Stores</t>
  </si>
  <si>
    <t>failed e05 timeout</t>
  </si>
  <si>
    <t>apac</t>
  </si>
  <si>
    <t>U004</t>
  </si>
  <si>
    <t>T005</t>
  </si>
  <si>
    <t>Alpha Mart</t>
  </si>
  <si>
    <t>T006</t>
  </si>
  <si>
    <t>score:64</t>
  </si>
  <si>
    <t>U005</t>
  </si>
  <si>
    <t>Wallet</t>
  </si>
  <si>
    <t>T007</t>
  </si>
  <si>
    <t>Alpha  Mart</t>
  </si>
  <si>
    <t>chargeback</t>
  </si>
  <si>
    <t>risk-83</t>
  </si>
  <si>
    <t>U006</t>
  </si>
  <si>
    <t>T008</t>
  </si>
  <si>
    <t>U007</t>
  </si>
  <si>
    <t>T009</t>
  </si>
  <si>
    <t>T010</t>
  </si>
  <si>
    <t>Beta Stores</t>
  </si>
  <si>
    <t>risk-77</t>
  </si>
  <si>
    <t>T011</t>
  </si>
  <si>
    <t>FAILED e05 TIMEOUT</t>
  </si>
  <si>
    <t>U008</t>
  </si>
  <si>
    <t>T012</t>
  </si>
  <si>
    <t>risk-61</t>
  </si>
  <si>
    <t>U009</t>
  </si>
  <si>
    <t>T013</t>
  </si>
  <si>
    <t>score:54</t>
  </si>
  <si>
    <t>U010</t>
  </si>
  <si>
    <t>T014</t>
  </si>
  <si>
    <t>risk-73</t>
  </si>
  <si>
    <t>T015</t>
  </si>
  <si>
    <t>score:52</t>
  </si>
  <si>
    <t>T016</t>
  </si>
  <si>
    <t>failed E05 timeout</t>
  </si>
  <si>
    <t>risk-69</t>
  </si>
  <si>
    <t>T017</t>
  </si>
  <si>
    <t>Failed E05 Timeout</t>
  </si>
  <si>
    <t>score:72</t>
  </si>
  <si>
    <t>T018</t>
  </si>
  <si>
    <t>risk-86</t>
  </si>
  <si>
    <t>T019</t>
  </si>
  <si>
    <t>score:67</t>
  </si>
  <si>
    <t>T020</t>
  </si>
  <si>
    <t>T021</t>
  </si>
  <si>
    <t>beta stores</t>
  </si>
  <si>
    <t>score:63</t>
  </si>
  <si>
    <t>T022</t>
  </si>
  <si>
    <t>T023</t>
  </si>
  <si>
    <t>City Pharma</t>
  </si>
  <si>
    <t>EUR</t>
  </si>
  <si>
    <t>EU</t>
  </si>
  <si>
    <t>T024</t>
  </si>
  <si>
    <t>Eco Home</t>
  </si>
  <si>
    <t>score:65</t>
  </si>
  <si>
    <t>T025</t>
  </si>
  <si>
    <t>eu</t>
  </si>
  <si>
    <t>T026</t>
  </si>
  <si>
    <t>T027</t>
  </si>
  <si>
    <t>DELTA TRAVELS</t>
  </si>
  <si>
    <t>USD</t>
  </si>
  <si>
    <t>us</t>
  </si>
  <si>
    <t>T028</t>
  </si>
  <si>
    <t>Delta Travels</t>
  </si>
  <si>
    <t>risk-41</t>
  </si>
  <si>
    <t>US</t>
  </si>
  <si>
    <t>T029</t>
  </si>
  <si>
    <t>delta travels</t>
  </si>
  <si>
    <t>score:58</t>
  </si>
  <si>
    <t>T030</t>
  </si>
  <si>
    <t>score:47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</si>
</sst>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6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2.88"/>
    <col customWidth="1" min="3" max="3" width="20.88"/>
    <col customWidth="1" min="4" max="4" width="16.25"/>
    <col customWidth="1" min="5" max="5" width="21.75"/>
    <col customWidth="1" min="6" max="6" width="12.63"/>
    <col customWidth="1" min="7" max="7" width="22.63"/>
    <col customWidth="1" min="8" max="8" width="17.75"/>
    <col customWidth="1" min="9" max="9" width="10.5"/>
    <col customWidth="1" min="10" max="10" width="18.0"/>
    <col customWidth="1" min="11" max="11" width="15.5"/>
    <col customWidth="1" min="13" max="13" width="19.0"/>
    <col customWidth="1" min="15" max="15" width="22.25"/>
    <col customWidth="1" min="17" max="17" width="17.25"/>
    <col customWidth="1" min="18" max="18" width="16.13"/>
    <col customWidth="1" min="19" max="19" width="14.75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3" t="s">
        <v>17</v>
      </c>
      <c r="S1" s="3" t="s">
        <v>18</v>
      </c>
    </row>
    <row r="2" ht="15.75" customHeight="1">
      <c r="A2" s="1" t="s">
        <v>19</v>
      </c>
      <c r="B2" s="4">
        <v>46082.0</v>
      </c>
      <c r="C2" s="1" t="str">
        <f t="shared" ref="C2:C31" si="1">TEXT(if(or(B2="", B2="UNKNOWN", B2="ERROR"), "1900-01-01", B2), "YYYY_MM-DD")</f>
        <v>2026_03-01</v>
      </c>
      <c r="D2" s="1" t="s">
        <v>20</v>
      </c>
      <c r="E2" s="1" t="str">
        <f t="shared" ref="E2:E31" si="2">trim(if(OR(D2="", D2="ERROR", D2="UNKNOWN"), "INVALID_OR_MISSING", proper(D2)))</f>
        <v>Alpha Mart</v>
      </c>
      <c r="F2" s="1">
        <v>420000.0</v>
      </c>
      <c r="G2" s="1">
        <f>IFERROR(__xludf.DUMMYFUNCTION("filter(IMPORTRANGE(""https://docs.google.com/spreadsheets/d/1jI6xvE5DuO7D5FJQ-Zus-XTCMMS9FUB4nCuQTw61PD8/edit?gid=40537420#gid=40537420"",""exchange_rates!C2:C19""), I2=IMPORTRANGE(""https://docs.google.com/spreadsheets/d/1jI6xvE5DuO7D5FJQ-Zus-XTCMMS9FUB4"&amp;"nCuQTw61PD8/edit?gid=40537420#gid=40537420"",""exchange_rates!B2:B19""), B2=IMPORTRANGE(""https://docs.google.com/spreadsheets/d/1jI6xvE5DuO7D5FJQ-Zus-XTCMMS9FUB4nCuQTw61PD8/edit?gid=40537420#gid=40537420"",""exchange_rates!A2:A19""))"),0.0119)</f>
        <v>0.0119</v>
      </c>
      <c r="H2" s="1">
        <f t="shared" ref="H2:H31" si="3">G2*F2</f>
        <v>4998</v>
      </c>
      <c r="I2" s="1" t="s">
        <v>21</v>
      </c>
      <c r="J2" s="1" t="s">
        <v>22</v>
      </c>
      <c r="K2" s="1" t="str">
        <f t="shared" ref="K2:K31" si="4">if(OR(J2="",J2 ="ERROR",J2 ="UNKNOWN"), "INVALID_OR_MISSING", proper(J2))</f>
        <v>Captured</v>
      </c>
      <c r="L2" s="1" t="s">
        <v>23</v>
      </c>
      <c r="M2" s="1">
        <f t="shared" ref="M2:M31" si="5">if(OR(L2="",L2 ="ERROR",L2 ="UNKNOWN"), "INVALID_OR_MISSING", value(RIGHT(L2, 2)))</f>
        <v>62</v>
      </c>
      <c r="N2" s="1" t="s">
        <v>24</v>
      </c>
      <c r="O2" s="1" t="str">
        <f>IFERROR(__xludf.DUMMYFUNCTION("VLOOKUP(E2,IMPORTRANGE(""https://docs.google.com/spreadsheets/d/1c8dmeo1Llg3EfYlgkbY12QiVWQkWDFa09vUraIt7_f8/edit?gid=60813055#gid=60813055"",""merchant_master!B2:E6""),4, TRUE)"),"APAC")</f>
        <v>APAC</v>
      </c>
      <c r="P2" s="1" t="s">
        <v>25</v>
      </c>
      <c r="Q2" s="1" t="s">
        <v>26</v>
      </c>
      <c r="R2" s="5">
        <f t="shared" ref="R2:R31" si="6">if(OR(AND(O2="APAC", H2&gt;5000), AND(O2="EU", H2&gt;6000), AND(O2="US", H2&gt;7000)), 1, 0)</f>
        <v>0</v>
      </c>
      <c r="S2" s="5">
        <f t="shared" ref="S2:S31" si="7">if(OR(ISNUMBER(SEARCH("chargeback",J2)), AND(ISNUMBER(M2), M2 &gt;= 70)), 1, 0)</f>
        <v>0</v>
      </c>
    </row>
    <row r="3" ht="15.75" customHeight="1">
      <c r="A3" s="1" t="s">
        <v>27</v>
      </c>
      <c r="B3" s="4">
        <v>46082.0</v>
      </c>
      <c r="C3" s="1" t="str">
        <f t="shared" si="1"/>
        <v>2026_03-01</v>
      </c>
      <c r="D3" s="1" t="s">
        <v>28</v>
      </c>
      <c r="E3" s="1" t="str">
        <f t="shared" si="2"/>
        <v>Alpha Mart</v>
      </c>
      <c r="F3" s="1">
        <v>210000.0</v>
      </c>
      <c r="G3" s="1">
        <f>IFERROR(__xludf.DUMMYFUNCTION("filter(IMPORTRANGE(""https://docs.google.com/spreadsheets/d/1jI6xvE5DuO7D5FJQ-Zus-XTCMMS9FUB4nCuQTw61PD8/edit?gid=40537420#gid=40537420"",""exchange_rates!C2:C19""), I3=IMPORTRANGE(""https://docs.google.com/spreadsheets/d/1jI6xvE5DuO7D5FJQ-Zus-XTCMMS9FUB4"&amp;"nCuQTw61PD8/edit?gid=40537420#gid=40537420"",""exchange_rates!B2:B19""), B3=IMPORTRANGE(""https://docs.google.com/spreadsheets/d/1jI6xvE5DuO7D5FJQ-Zus-XTCMMS9FUB4nCuQTw61PD8/edit?gid=40537420#gid=40537420"",""exchange_rates!A2:A19""))"),0.0119)</f>
        <v>0.0119</v>
      </c>
      <c r="H3" s="1">
        <f t="shared" si="3"/>
        <v>2499</v>
      </c>
      <c r="I3" s="1" t="s">
        <v>21</v>
      </c>
      <c r="J3" s="1" t="s">
        <v>29</v>
      </c>
      <c r="K3" s="1" t="str">
        <f t="shared" si="4"/>
        <v>Captured</v>
      </c>
      <c r="L3" s="1">
        <v>55.0</v>
      </c>
      <c r="M3" s="1">
        <f t="shared" si="5"/>
        <v>55</v>
      </c>
      <c r="O3" s="1" t="str">
        <f>IFERROR(__xludf.DUMMYFUNCTION("VLOOKUP(E3,IMPORTRANGE(""https://docs.google.com/spreadsheets/d/1c8dmeo1Llg3EfYlgkbY12QiVWQkWDFa09vUraIt7_f8/edit?gid=60813055#gid=60813055"",""merchant_master!B2:E6""),4, TRUE)"),"APAC")</f>
        <v>APAC</v>
      </c>
      <c r="P3" s="1" t="s">
        <v>30</v>
      </c>
      <c r="Q3" s="1" t="s">
        <v>31</v>
      </c>
      <c r="R3" s="5">
        <f t="shared" si="6"/>
        <v>0</v>
      </c>
      <c r="S3" s="5">
        <f t="shared" si="7"/>
        <v>0</v>
      </c>
    </row>
    <row r="4" ht="15.75" customHeight="1">
      <c r="A4" s="1" t="s">
        <v>32</v>
      </c>
      <c r="B4" s="4">
        <v>46082.0</v>
      </c>
      <c r="C4" s="1" t="str">
        <f t="shared" si="1"/>
        <v>2026_03-01</v>
      </c>
      <c r="D4" s="1" t="s">
        <v>33</v>
      </c>
      <c r="E4" s="1" t="str">
        <f t="shared" si="2"/>
        <v>Beta Stores</v>
      </c>
      <c r="F4" s="1">
        <v>510000.0</v>
      </c>
      <c r="G4" s="1">
        <f>IFERROR(__xludf.DUMMYFUNCTION("filter(IMPORTRANGE(""https://docs.google.com/spreadsheets/d/1jI6xvE5DuO7D5FJQ-Zus-XTCMMS9FUB4nCuQTw61PD8/edit?gid=40537420#gid=40537420"",""exchange_rates!C2:C19""), I4=IMPORTRANGE(""https://docs.google.com/spreadsheets/d/1jI6xvE5DuO7D5FJQ-Zus-XTCMMS9FUB4"&amp;"nCuQTw61PD8/edit?gid=40537420#gid=40537420"",""exchange_rates!B2:B19""), B4=IMPORTRANGE(""https://docs.google.com/spreadsheets/d/1jI6xvE5DuO7D5FJQ-Zus-XTCMMS9FUB4nCuQTw61PD8/edit?gid=40537420#gid=40537420"",""exchange_rates!A2:A19""))"),0.0119)</f>
        <v>0.0119</v>
      </c>
      <c r="H4" s="1">
        <f t="shared" si="3"/>
        <v>6069</v>
      </c>
      <c r="I4" s="1" t="s">
        <v>21</v>
      </c>
      <c r="J4" s="1" t="s">
        <v>34</v>
      </c>
      <c r="K4" s="1" t="str">
        <f t="shared" si="4"/>
        <v>Captured</v>
      </c>
      <c r="L4" s="1">
        <v>71.0</v>
      </c>
      <c r="M4" s="1">
        <f t="shared" si="5"/>
        <v>71</v>
      </c>
      <c r="N4" s="1" t="s">
        <v>24</v>
      </c>
      <c r="O4" s="1" t="str">
        <f>IFERROR(__xludf.DUMMYFUNCTION("VLOOKUP(E4,IMPORTRANGE(""https://docs.google.com/spreadsheets/d/1c8dmeo1Llg3EfYlgkbY12QiVWQkWDFa09vUraIt7_f8/edit?gid=60813055#gid=60813055"",""merchant_master!B2:E6""),4, TRUE)"),"APAC")</f>
        <v>APAC</v>
      </c>
      <c r="P4" s="1" t="s">
        <v>35</v>
      </c>
      <c r="Q4" s="1" t="s">
        <v>36</v>
      </c>
      <c r="R4" s="5">
        <f t="shared" si="6"/>
        <v>1</v>
      </c>
      <c r="S4" s="5">
        <f t="shared" si="7"/>
        <v>1</v>
      </c>
    </row>
    <row r="5" ht="15.75" customHeight="1">
      <c r="A5" s="1" t="s">
        <v>37</v>
      </c>
      <c r="B5" s="4">
        <v>46083.0</v>
      </c>
      <c r="C5" s="1" t="str">
        <f t="shared" si="1"/>
        <v>2026_03-02</v>
      </c>
      <c r="D5" s="1" t="s">
        <v>38</v>
      </c>
      <c r="E5" s="1" t="str">
        <f t="shared" si="2"/>
        <v>Beta Stores</v>
      </c>
      <c r="F5" s="1">
        <v>160000.0</v>
      </c>
      <c r="G5" s="1">
        <f>IFERROR(__xludf.DUMMYFUNCTION("filter(IMPORTRANGE(""https://docs.google.com/spreadsheets/d/1jI6xvE5DuO7D5FJQ-Zus-XTCMMS9FUB4nCuQTw61PD8/edit?gid=40537420#gid=40537420"",""exchange_rates!C2:C19""), I5=IMPORTRANGE(""https://docs.google.com/spreadsheets/d/1jI6xvE5DuO7D5FJQ-Zus-XTCMMS9FUB4"&amp;"nCuQTw61PD8/edit?gid=40537420#gid=40537420"",""exchange_rates!B2:B19""), B5=IMPORTRANGE(""https://docs.google.com/spreadsheets/d/1jI6xvE5DuO7D5FJQ-Zus-XTCMMS9FUB4nCuQTw61PD8/edit?gid=40537420#gid=40537420"",""exchange_rates!A2:A19""))"),0.012)</f>
        <v>0.012</v>
      </c>
      <c r="H5" s="1">
        <f t="shared" si="3"/>
        <v>1920</v>
      </c>
      <c r="I5" s="1" t="s">
        <v>21</v>
      </c>
      <c r="J5" s="1" t="s">
        <v>39</v>
      </c>
      <c r="K5" s="1" t="str">
        <f t="shared" si="4"/>
        <v>Failed E05 Timeout</v>
      </c>
      <c r="L5" s="1">
        <v>68.0</v>
      </c>
      <c r="M5" s="1">
        <f t="shared" si="5"/>
        <v>68</v>
      </c>
      <c r="N5" s="1" t="s">
        <v>40</v>
      </c>
      <c r="O5" s="1" t="str">
        <f>IFERROR(__xludf.DUMMYFUNCTION("VLOOKUP(E5,IMPORTRANGE(""https://docs.google.com/spreadsheets/d/1c8dmeo1Llg3EfYlgkbY12QiVWQkWDFa09vUraIt7_f8/edit?gid=60813055#gid=60813055"",""merchant_master!B2:E6""),4, TRUE)"),"APAC")</f>
        <v>APAC</v>
      </c>
      <c r="P5" s="1" t="s">
        <v>41</v>
      </c>
      <c r="Q5" s="1" t="s">
        <v>31</v>
      </c>
      <c r="R5" s="5">
        <f t="shared" si="6"/>
        <v>0</v>
      </c>
      <c r="S5" s="5">
        <f t="shared" si="7"/>
        <v>0</v>
      </c>
    </row>
    <row r="6" ht="15.75" customHeight="1">
      <c r="A6" s="1" t="s">
        <v>42</v>
      </c>
      <c r="B6" s="4">
        <v>46083.0</v>
      </c>
      <c r="C6" s="1" t="str">
        <f t="shared" si="1"/>
        <v>2026_03-02</v>
      </c>
      <c r="D6" s="1" t="s">
        <v>43</v>
      </c>
      <c r="E6" s="1" t="str">
        <f t="shared" si="2"/>
        <v>Alpha Mart</v>
      </c>
      <c r="F6" s="1">
        <v>390000.0</v>
      </c>
      <c r="G6" s="1">
        <f>IFERROR(__xludf.DUMMYFUNCTION("filter(IMPORTRANGE(""https://docs.google.com/spreadsheets/d/1jI6xvE5DuO7D5FJQ-Zus-XTCMMS9FUB4nCuQTw61PD8/edit?gid=40537420#gid=40537420"",""exchange_rates!C2:C19""), I6=IMPORTRANGE(""https://docs.google.com/spreadsheets/d/1jI6xvE5DuO7D5FJQ-Zus-XTCMMS9FUB4"&amp;"nCuQTw61PD8/edit?gid=40537420#gid=40537420"",""exchange_rates!B2:B19""), B6=IMPORTRANGE(""https://docs.google.com/spreadsheets/d/1jI6xvE5DuO7D5FJQ-Zus-XTCMMS9FUB4nCuQTw61PD8/edit?gid=40537420#gid=40537420"",""exchange_rates!A2:A19""))"),0.012)</f>
        <v>0.012</v>
      </c>
      <c r="H6" s="1">
        <f t="shared" si="3"/>
        <v>4680</v>
      </c>
      <c r="I6" s="1" t="s">
        <v>21</v>
      </c>
      <c r="J6" s="1" t="s">
        <v>34</v>
      </c>
      <c r="K6" s="1" t="str">
        <f t="shared" si="4"/>
        <v>Captured</v>
      </c>
      <c r="L6" s="1">
        <v>58.0</v>
      </c>
      <c r="M6" s="1">
        <f t="shared" si="5"/>
        <v>58</v>
      </c>
      <c r="O6" s="1" t="str">
        <f>IFERROR(__xludf.DUMMYFUNCTION("VLOOKUP(E6,IMPORTRANGE(""https://docs.google.com/spreadsheets/d/1c8dmeo1Llg3EfYlgkbY12QiVWQkWDFa09vUraIt7_f8/edit?gid=60813055#gid=60813055"",""merchant_master!B2:E6""),4, TRUE)"),"APAC")</f>
        <v>APAC</v>
      </c>
      <c r="P6" s="1" t="s">
        <v>25</v>
      </c>
      <c r="Q6" s="1" t="s">
        <v>26</v>
      </c>
      <c r="R6" s="5">
        <f t="shared" si="6"/>
        <v>0</v>
      </c>
      <c r="S6" s="5">
        <f t="shared" si="7"/>
        <v>0</v>
      </c>
    </row>
    <row r="7" ht="15.75" customHeight="1">
      <c r="A7" s="1" t="s">
        <v>44</v>
      </c>
      <c r="B7" s="4">
        <v>46083.0</v>
      </c>
      <c r="C7" s="1" t="str">
        <f t="shared" si="1"/>
        <v>2026_03-02</v>
      </c>
      <c r="D7" s="1" t="s">
        <v>38</v>
      </c>
      <c r="E7" s="1" t="str">
        <f t="shared" si="2"/>
        <v>Beta Stores</v>
      </c>
      <c r="F7" s="1">
        <v>275000.0</v>
      </c>
      <c r="G7" s="1">
        <f>IFERROR(__xludf.DUMMYFUNCTION("filter(IMPORTRANGE(""https://docs.google.com/spreadsheets/d/1jI6xvE5DuO7D5FJQ-Zus-XTCMMS9FUB4nCuQTw61PD8/edit?gid=40537420#gid=40537420"",""exchange_rates!C2:C19""), I7=IMPORTRANGE(""https://docs.google.com/spreadsheets/d/1jI6xvE5DuO7D5FJQ-Zus-XTCMMS9FUB4"&amp;"nCuQTw61PD8/edit?gid=40537420#gid=40537420"",""exchange_rates!B2:B19""), B7=IMPORTRANGE(""https://docs.google.com/spreadsheets/d/1jI6xvE5DuO7D5FJQ-Zus-XTCMMS9FUB4nCuQTw61PD8/edit?gid=40537420#gid=40537420"",""exchange_rates!A2:A19""))"),0.012)</f>
        <v>0.012</v>
      </c>
      <c r="H7" s="1">
        <f t="shared" si="3"/>
        <v>3300</v>
      </c>
      <c r="I7" s="1" t="s">
        <v>21</v>
      </c>
      <c r="J7" s="1" t="s">
        <v>29</v>
      </c>
      <c r="K7" s="1" t="str">
        <f t="shared" si="4"/>
        <v>Captured</v>
      </c>
      <c r="L7" s="1" t="s">
        <v>45</v>
      </c>
      <c r="M7" s="1">
        <f t="shared" si="5"/>
        <v>64</v>
      </c>
      <c r="O7" s="1" t="str">
        <f>IFERROR(__xludf.DUMMYFUNCTION("VLOOKUP(E7,IMPORTRANGE(""https://docs.google.com/spreadsheets/d/1c8dmeo1Llg3EfYlgkbY12QiVWQkWDFa09vUraIt7_f8/edit?gid=60813055#gid=60813055"",""merchant_master!B2:E6""),4, TRUE)"),"APAC")</f>
        <v>APAC</v>
      </c>
      <c r="P7" s="1" t="s">
        <v>46</v>
      </c>
      <c r="Q7" s="1" t="s">
        <v>47</v>
      </c>
      <c r="R7" s="5">
        <f t="shared" si="6"/>
        <v>0</v>
      </c>
      <c r="S7" s="5">
        <f t="shared" si="7"/>
        <v>0</v>
      </c>
    </row>
    <row r="8" ht="15.75" customHeight="1">
      <c r="A8" s="1" t="s">
        <v>48</v>
      </c>
      <c r="B8" s="4">
        <v>46083.0</v>
      </c>
      <c r="C8" s="1" t="str">
        <f t="shared" si="1"/>
        <v>2026_03-02</v>
      </c>
      <c r="D8" s="1" t="s">
        <v>49</v>
      </c>
      <c r="E8" s="1" t="str">
        <f t="shared" si="2"/>
        <v>Alpha Mart</v>
      </c>
      <c r="F8" s="1">
        <v>450000.0</v>
      </c>
      <c r="G8" s="1">
        <f>IFERROR(__xludf.DUMMYFUNCTION("filter(IMPORTRANGE(""https://docs.google.com/spreadsheets/d/1jI6xvE5DuO7D5FJQ-Zus-XTCMMS9FUB4nCuQTw61PD8/edit?gid=40537420#gid=40537420"",""exchange_rates!C2:C19""), I8=IMPORTRANGE(""https://docs.google.com/spreadsheets/d/1jI6xvE5DuO7D5FJQ-Zus-XTCMMS9FUB4"&amp;"nCuQTw61PD8/edit?gid=40537420#gid=40537420"",""exchange_rates!B2:B19""), B8=IMPORTRANGE(""https://docs.google.com/spreadsheets/d/1jI6xvE5DuO7D5FJQ-Zus-XTCMMS9FUB4nCuQTw61PD8/edit?gid=40537420#gid=40537420"",""exchange_rates!A2:A19""))"),0.012)</f>
        <v>0.012</v>
      </c>
      <c r="H8" s="1">
        <f t="shared" si="3"/>
        <v>5400</v>
      </c>
      <c r="I8" s="1" t="s">
        <v>21</v>
      </c>
      <c r="J8" s="1" t="s">
        <v>50</v>
      </c>
      <c r="K8" s="1" t="str">
        <f t="shared" si="4"/>
        <v>Chargeback</v>
      </c>
      <c r="L8" s="1" t="s">
        <v>51</v>
      </c>
      <c r="M8" s="1">
        <f t="shared" si="5"/>
        <v>83</v>
      </c>
      <c r="N8" s="1" t="s">
        <v>24</v>
      </c>
      <c r="O8" s="1" t="str">
        <f>IFERROR(__xludf.DUMMYFUNCTION("VLOOKUP(E8,IMPORTRANGE(""https://docs.google.com/spreadsheets/d/1c8dmeo1Llg3EfYlgkbY12QiVWQkWDFa09vUraIt7_f8/edit?gid=60813055#gid=60813055"",""merchant_master!B2:E6""),4, TRUE)"),"APAC")</f>
        <v>APAC</v>
      </c>
      <c r="P8" s="1" t="s">
        <v>52</v>
      </c>
      <c r="Q8" s="1" t="s">
        <v>31</v>
      </c>
      <c r="R8" s="5">
        <f t="shared" si="6"/>
        <v>1</v>
      </c>
      <c r="S8" s="5">
        <f t="shared" si="7"/>
        <v>1</v>
      </c>
    </row>
    <row r="9" ht="15.75" customHeight="1">
      <c r="A9" s="1" t="s">
        <v>53</v>
      </c>
      <c r="B9" s="4">
        <v>46084.0</v>
      </c>
      <c r="C9" s="1" t="str">
        <f t="shared" si="1"/>
        <v>2026_03-03</v>
      </c>
      <c r="D9" s="1" t="s">
        <v>33</v>
      </c>
      <c r="E9" s="1" t="str">
        <f t="shared" si="2"/>
        <v>Beta Stores</v>
      </c>
      <c r="F9" s="1">
        <v>340000.0</v>
      </c>
      <c r="G9" s="1">
        <f>IFERROR(__xludf.DUMMYFUNCTION("filter(IMPORTRANGE(""https://docs.google.com/spreadsheets/d/1jI6xvE5DuO7D5FJQ-Zus-XTCMMS9FUB4nCuQTw61PD8/edit?gid=40537420#gid=40537420"",""exchange_rates!C2:C19""), I9=IMPORTRANGE(""https://docs.google.com/spreadsheets/d/1jI6xvE5DuO7D5FJQ-Zus-XTCMMS9FUB4"&amp;"nCuQTw61PD8/edit?gid=40537420#gid=40537420"",""exchange_rates!B2:B19""), B9=IMPORTRANGE(""https://docs.google.com/spreadsheets/d/1jI6xvE5DuO7D5FJQ-Zus-XTCMMS9FUB4nCuQTw61PD8/edit?gid=40537420#gid=40537420"",""exchange_rates!A2:A19""))"),0.0121)</f>
        <v>0.0121</v>
      </c>
      <c r="H9" s="1">
        <f t="shared" si="3"/>
        <v>4114</v>
      </c>
      <c r="I9" s="1" t="s">
        <v>21</v>
      </c>
      <c r="J9" s="1" t="s">
        <v>29</v>
      </c>
      <c r="K9" s="1" t="str">
        <f t="shared" si="4"/>
        <v>Captured</v>
      </c>
      <c r="L9" s="1">
        <v>59.0</v>
      </c>
      <c r="M9" s="1">
        <f t="shared" si="5"/>
        <v>59</v>
      </c>
      <c r="O9" s="1" t="str">
        <f>IFERROR(__xludf.DUMMYFUNCTION("VLOOKUP(E9,IMPORTRANGE(""https://docs.google.com/spreadsheets/d/1c8dmeo1Llg3EfYlgkbY12QiVWQkWDFa09vUraIt7_f8/edit?gid=60813055#gid=60813055"",""merchant_master!B2:E6""),4, TRUE)"),"APAC")</f>
        <v>APAC</v>
      </c>
      <c r="P9" s="1" t="s">
        <v>54</v>
      </c>
      <c r="Q9" s="1" t="s">
        <v>26</v>
      </c>
      <c r="R9" s="5">
        <f t="shared" si="6"/>
        <v>0</v>
      </c>
      <c r="S9" s="5">
        <f t="shared" si="7"/>
        <v>0</v>
      </c>
    </row>
    <row r="10" ht="15.75" customHeight="1">
      <c r="A10" s="1" t="s">
        <v>55</v>
      </c>
      <c r="B10" s="4">
        <v>46084.0</v>
      </c>
      <c r="C10" s="1" t="str">
        <f t="shared" si="1"/>
        <v>2026_03-03</v>
      </c>
      <c r="D10" s="1" t="s">
        <v>43</v>
      </c>
      <c r="E10" s="1" t="str">
        <f t="shared" si="2"/>
        <v>Alpha Mart</v>
      </c>
      <c r="F10" s="1">
        <v>125000.0</v>
      </c>
      <c r="G10" s="1">
        <f>IFERROR(__xludf.DUMMYFUNCTION("filter(IMPORTRANGE(""https://docs.google.com/spreadsheets/d/1jI6xvE5DuO7D5FJQ-Zus-XTCMMS9FUB4nCuQTw61PD8/edit?gid=40537420#gid=40537420"",""exchange_rates!C2:C19""), I10=IMPORTRANGE(""https://docs.google.com/spreadsheets/d/1jI6xvE5DuO7D5FJQ-Zus-XTCMMS9FUB"&amp;"4nCuQTw61PD8/edit?gid=40537420#gid=40537420"",""exchange_rates!B2:B19""), B10=IMPORTRANGE(""https://docs.google.com/spreadsheets/d/1jI6xvE5DuO7D5FJQ-Zus-XTCMMS9FUB4nCuQTw61PD8/edit?gid=40537420#gid=40537420"",""exchange_rates!A2:A19""))"),0.0121)</f>
        <v>0.0121</v>
      </c>
      <c r="H10" s="1">
        <f t="shared" si="3"/>
        <v>1512.5</v>
      </c>
      <c r="I10" s="1" t="s">
        <v>21</v>
      </c>
      <c r="J10" s="1" t="s">
        <v>22</v>
      </c>
      <c r="K10" s="1" t="str">
        <f t="shared" si="4"/>
        <v>Captured</v>
      </c>
      <c r="L10" s="1">
        <v>46.0</v>
      </c>
      <c r="M10" s="1">
        <f t="shared" si="5"/>
        <v>46</v>
      </c>
      <c r="N10" s="1" t="s">
        <v>24</v>
      </c>
      <c r="O10" s="1" t="str">
        <f>IFERROR(__xludf.DUMMYFUNCTION("VLOOKUP(E10,IMPORTRANGE(""https://docs.google.com/spreadsheets/d/1c8dmeo1Llg3EfYlgkbY12QiVWQkWDFa09vUraIt7_f8/edit?gid=60813055#gid=60813055"",""merchant_master!B2:E6""),4, TRUE)"),"APAC")</f>
        <v>APAC</v>
      </c>
      <c r="P10" s="1" t="s">
        <v>30</v>
      </c>
      <c r="Q10" s="1" t="s">
        <v>47</v>
      </c>
      <c r="R10" s="5">
        <f t="shared" si="6"/>
        <v>0</v>
      </c>
      <c r="S10" s="5">
        <f t="shared" si="7"/>
        <v>0</v>
      </c>
    </row>
    <row r="11" ht="15.75" customHeight="1">
      <c r="A11" s="1" t="s">
        <v>56</v>
      </c>
      <c r="B11" s="4">
        <v>46084.0</v>
      </c>
      <c r="C11" s="1" t="str">
        <f t="shared" si="1"/>
        <v>2026_03-03</v>
      </c>
      <c r="D11" s="1" t="s">
        <v>57</v>
      </c>
      <c r="E11" s="1" t="str">
        <f t="shared" si="2"/>
        <v>Beta Stores</v>
      </c>
      <c r="F11" s="1">
        <v>610000.0</v>
      </c>
      <c r="G11" s="1">
        <f>IFERROR(__xludf.DUMMYFUNCTION("filter(IMPORTRANGE(""https://docs.google.com/spreadsheets/d/1jI6xvE5DuO7D5FJQ-Zus-XTCMMS9FUB4nCuQTw61PD8/edit?gid=40537420#gid=40537420"",""exchange_rates!C2:C19""), I11=IMPORTRANGE(""https://docs.google.com/spreadsheets/d/1jI6xvE5DuO7D5FJQ-Zus-XTCMMS9FUB"&amp;"4nCuQTw61PD8/edit?gid=40537420#gid=40537420"",""exchange_rates!B2:B19""), B11=IMPORTRANGE(""https://docs.google.com/spreadsheets/d/1jI6xvE5DuO7D5FJQ-Zus-XTCMMS9FUB4nCuQTw61PD8/edit?gid=40537420#gid=40537420"",""exchange_rates!A2:A19""))"),0.0121)</f>
        <v>0.0121</v>
      </c>
      <c r="H11" s="1">
        <f t="shared" si="3"/>
        <v>7381</v>
      </c>
      <c r="I11" s="1" t="s">
        <v>21</v>
      </c>
      <c r="J11" s="1" t="s">
        <v>22</v>
      </c>
      <c r="K11" s="1" t="str">
        <f t="shared" si="4"/>
        <v>Captured</v>
      </c>
      <c r="L11" s="1" t="s">
        <v>58</v>
      </c>
      <c r="M11" s="1">
        <f t="shared" si="5"/>
        <v>77</v>
      </c>
      <c r="O11" s="1" t="str">
        <f>IFERROR(__xludf.DUMMYFUNCTION("VLOOKUP(E11,IMPORTRANGE(""https://docs.google.com/spreadsheets/d/1c8dmeo1Llg3EfYlgkbY12QiVWQkWDFa09vUraIt7_f8/edit?gid=60813055#gid=60813055"",""merchant_master!B2:E6""),4, TRUE)"),"APAC")</f>
        <v>APAC</v>
      </c>
      <c r="P11" s="1" t="s">
        <v>35</v>
      </c>
      <c r="Q11" s="1" t="s">
        <v>31</v>
      </c>
      <c r="R11" s="5">
        <f t="shared" si="6"/>
        <v>1</v>
      </c>
      <c r="S11" s="5">
        <f t="shared" si="7"/>
        <v>1</v>
      </c>
    </row>
    <row r="12" ht="15.75" customHeight="1">
      <c r="A12" s="1" t="s">
        <v>59</v>
      </c>
      <c r="B12" s="4">
        <v>46084.0</v>
      </c>
      <c r="C12" s="1" t="str">
        <f t="shared" si="1"/>
        <v>2026_03-03</v>
      </c>
      <c r="D12" s="1" t="s">
        <v>49</v>
      </c>
      <c r="E12" s="1" t="str">
        <f t="shared" si="2"/>
        <v>Alpha Mart</v>
      </c>
      <c r="F12" s="1">
        <v>195000.0</v>
      </c>
      <c r="G12" s="1">
        <f>IFERROR(__xludf.DUMMYFUNCTION("filter(IMPORTRANGE(""https://docs.google.com/spreadsheets/d/1jI6xvE5DuO7D5FJQ-Zus-XTCMMS9FUB4nCuQTw61PD8/edit?gid=40537420#gid=40537420"",""exchange_rates!C2:C19""), I12=IMPORTRANGE(""https://docs.google.com/spreadsheets/d/1jI6xvE5DuO7D5FJQ-Zus-XTCMMS9FUB"&amp;"4nCuQTw61PD8/edit?gid=40537420#gid=40537420"",""exchange_rates!B2:B19""), B12=IMPORTRANGE(""https://docs.google.com/spreadsheets/d/1jI6xvE5DuO7D5FJQ-Zus-XTCMMS9FUB4nCuQTw61PD8/edit?gid=40537420#gid=40537420"",""exchange_rates!A2:A19""))"),0.0121)</f>
        <v>0.0121</v>
      </c>
      <c r="H12" s="1">
        <f t="shared" si="3"/>
        <v>2359.5</v>
      </c>
      <c r="I12" s="1" t="s">
        <v>21</v>
      </c>
      <c r="J12" s="1" t="s">
        <v>60</v>
      </c>
      <c r="K12" s="1" t="str">
        <f t="shared" si="4"/>
        <v>Failed E05 Timeout</v>
      </c>
      <c r="M12" s="1" t="str">
        <f t="shared" si="5"/>
        <v>INVALID_OR_MISSING</v>
      </c>
      <c r="O12" s="1" t="str">
        <f>IFERROR(__xludf.DUMMYFUNCTION("VLOOKUP(E12,IMPORTRANGE(""https://docs.google.com/spreadsheets/d/1c8dmeo1Llg3EfYlgkbY12QiVWQkWDFa09vUraIt7_f8/edit?gid=60813055#gid=60813055"",""merchant_master!B2:E6""),4, TRUE)"),"APAC")</f>
        <v>APAC</v>
      </c>
      <c r="P12" s="1" t="s">
        <v>61</v>
      </c>
      <c r="Q12" s="1" t="s">
        <v>26</v>
      </c>
      <c r="R12" s="5">
        <f t="shared" si="6"/>
        <v>0</v>
      </c>
      <c r="S12" s="5">
        <f t="shared" si="7"/>
        <v>0</v>
      </c>
    </row>
    <row r="13" ht="15.75" customHeight="1">
      <c r="A13" s="1" t="s">
        <v>62</v>
      </c>
      <c r="B13" s="4">
        <v>46085.0</v>
      </c>
      <c r="C13" s="1" t="str">
        <f t="shared" si="1"/>
        <v>2026_03-04</v>
      </c>
      <c r="D13" s="1" t="s">
        <v>38</v>
      </c>
      <c r="E13" s="1" t="str">
        <f t="shared" si="2"/>
        <v>Beta Stores</v>
      </c>
      <c r="F13" s="1">
        <v>250000.0</v>
      </c>
      <c r="G13" s="1">
        <f>IFERROR(__xludf.DUMMYFUNCTION("filter(IMPORTRANGE(""https://docs.google.com/spreadsheets/d/1jI6xvE5DuO7D5FJQ-Zus-XTCMMS9FUB4nCuQTw61PD8/edit?gid=40537420#gid=40537420"",""exchange_rates!C2:C19""), I13=IMPORTRANGE(""https://docs.google.com/spreadsheets/d/1jI6xvE5DuO7D5FJQ-Zus-XTCMMS9FUB"&amp;"4nCuQTw61PD8/edit?gid=40537420#gid=40537420"",""exchange_rates!B2:B19""), B13=IMPORTRANGE(""https://docs.google.com/spreadsheets/d/1jI6xvE5DuO7D5FJQ-Zus-XTCMMS9FUB4nCuQTw61PD8/edit?gid=40537420#gid=40537420"",""exchange_rates!A2:A19""))"),0.012)</f>
        <v>0.012</v>
      </c>
      <c r="H13" s="1">
        <f t="shared" si="3"/>
        <v>3000</v>
      </c>
      <c r="I13" s="1" t="s">
        <v>21</v>
      </c>
      <c r="J13" s="1" t="s">
        <v>22</v>
      </c>
      <c r="K13" s="1" t="str">
        <f t="shared" si="4"/>
        <v>Captured</v>
      </c>
      <c r="L13" s="1" t="s">
        <v>63</v>
      </c>
      <c r="M13" s="1">
        <f t="shared" si="5"/>
        <v>61</v>
      </c>
      <c r="N13" s="1" t="s">
        <v>24</v>
      </c>
      <c r="O13" s="1" t="str">
        <f>IFERROR(__xludf.DUMMYFUNCTION("VLOOKUP(E13,IMPORTRANGE(""https://docs.google.com/spreadsheets/d/1c8dmeo1Llg3EfYlgkbY12QiVWQkWDFa09vUraIt7_f8/edit?gid=60813055#gid=60813055"",""merchant_master!B2:E6""),4, TRUE)"),"APAC")</f>
        <v>APAC</v>
      </c>
      <c r="P13" s="1" t="s">
        <v>64</v>
      </c>
      <c r="Q13" s="1" t="s">
        <v>31</v>
      </c>
      <c r="R13" s="5">
        <f t="shared" si="6"/>
        <v>0</v>
      </c>
      <c r="S13" s="5">
        <f t="shared" si="7"/>
        <v>0</v>
      </c>
    </row>
    <row r="14" ht="15.75" customHeight="1">
      <c r="A14" s="1" t="s">
        <v>65</v>
      </c>
      <c r="B14" s="4">
        <v>46085.0</v>
      </c>
      <c r="C14" s="1" t="str">
        <f t="shared" si="1"/>
        <v>2026_03-04</v>
      </c>
      <c r="D14" s="1" t="s">
        <v>20</v>
      </c>
      <c r="E14" s="1" t="str">
        <f t="shared" si="2"/>
        <v>Alpha Mart</v>
      </c>
      <c r="F14" s="1">
        <v>310000.0</v>
      </c>
      <c r="G14" s="1">
        <f>IFERROR(__xludf.DUMMYFUNCTION("filter(IMPORTRANGE(""https://docs.google.com/spreadsheets/d/1jI6xvE5DuO7D5FJQ-Zus-XTCMMS9FUB4nCuQTw61PD8/edit?gid=40537420#gid=40537420"",""exchange_rates!C2:C19""), I14=IMPORTRANGE(""https://docs.google.com/spreadsheets/d/1jI6xvE5DuO7D5FJQ-Zus-XTCMMS9FUB"&amp;"4nCuQTw61PD8/edit?gid=40537420#gid=40537420"",""exchange_rates!B2:B19""), B14=IMPORTRANGE(""https://docs.google.com/spreadsheets/d/1jI6xvE5DuO7D5FJQ-Zus-XTCMMS9FUB4nCuQTw61PD8/edit?gid=40537420#gid=40537420"",""exchange_rates!A2:A19""))"),0.012)</f>
        <v>0.012</v>
      </c>
      <c r="H14" s="1">
        <f t="shared" si="3"/>
        <v>3720</v>
      </c>
      <c r="I14" s="1" t="s">
        <v>21</v>
      </c>
      <c r="J14" s="1" t="s">
        <v>22</v>
      </c>
      <c r="K14" s="1" t="str">
        <f t="shared" si="4"/>
        <v>Captured</v>
      </c>
      <c r="L14" s="1" t="s">
        <v>66</v>
      </c>
      <c r="M14" s="1">
        <f t="shared" si="5"/>
        <v>54</v>
      </c>
      <c r="N14" s="1" t="s">
        <v>24</v>
      </c>
      <c r="O14" s="1" t="str">
        <f>IFERROR(__xludf.DUMMYFUNCTION("VLOOKUP(E14,IMPORTRANGE(""https://docs.google.com/spreadsheets/d/1c8dmeo1Llg3EfYlgkbY12QiVWQkWDFa09vUraIt7_f8/edit?gid=60813055#gid=60813055"",""merchant_master!B2:E6""),4, TRUE)"),"APAC")</f>
        <v>APAC</v>
      </c>
      <c r="P14" s="1" t="s">
        <v>67</v>
      </c>
      <c r="Q14" s="1" t="s">
        <v>26</v>
      </c>
      <c r="R14" s="5">
        <f t="shared" si="6"/>
        <v>0</v>
      </c>
      <c r="S14" s="5">
        <f t="shared" si="7"/>
        <v>0</v>
      </c>
    </row>
    <row r="15" ht="15.75" customHeight="1">
      <c r="A15" s="1" t="s">
        <v>68</v>
      </c>
      <c r="B15" s="4">
        <v>46085.0</v>
      </c>
      <c r="C15" s="1" t="str">
        <f t="shared" si="1"/>
        <v>2026_03-04</v>
      </c>
      <c r="D15" s="1" t="s">
        <v>38</v>
      </c>
      <c r="E15" s="1" t="str">
        <f t="shared" si="2"/>
        <v>Beta Stores</v>
      </c>
      <c r="F15" s="1">
        <v>470000.0</v>
      </c>
      <c r="G15" s="1">
        <f>IFERROR(__xludf.DUMMYFUNCTION("filter(IMPORTRANGE(""https://docs.google.com/spreadsheets/d/1jI6xvE5DuO7D5FJQ-Zus-XTCMMS9FUB4nCuQTw61PD8/edit?gid=40537420#gid=40537420"",""exchange_rates!C2:C19""), I15=IMPORTRANGE(""https://docs.google.com/spreadsheets/d/1jI6xvE5DuO7D5FJQ-Zus-XTCMMS9FUB"&amp;"4nCuQTw61PD8/edit?gid=40537420#gid=40537420"",""exchange_rates!B2:B19""), B15=IMPORTRANGE(""https://docs.google.com/spreadsheets/d/1jI6xvE5DuO7D5FJQ-Zus-XTCMMS9FUB4nCuQTw61PD8/edit?gid=40537420#gid=40537420"",""exchange_rates!A2:A19""))"),0.012)</f>
        <v>0.012</v>
      </c>
      <c r="H15" s="1">
        <f t="shared" si="3"/>
        <v>5640</v>
      </c>
      <c r="I15" s="1" t="s">
        <v>21</v>
      </c>
      <c r="J15" s="1" t="s">
        <v>22</v>
      </c>
      <c r="K15" s="1" t="str">
        <f t="shared" si="4"/>
        <v>Captured</v>
      </c>
      <c r="L15" s="1" t="s">
        <v>69</v>
      </c>
      <c r="M15" s="1">
        <f t="shared" si="5"/>
        <v>73</v>
      </c>
      <c r="N15" s="1" t="s">
        <v>24</v>
      </c>
      <c r="O15" s="1" t="str">
        <f>IFERROR(__xludf.DUMMYFUNCTION("VLOOKUP(E15,IMPORTRANGE(""https://docs.google.com/spreadsheets/d/1c8dmeo1Llg3EfYlgkbY12QiVWQkWDFa09vUraIt7_f8/edit?gid=60813055#gid=60813055"",""merchant_master!B2:E6""),4, TRUE)"),"APAC")</f>
        <v>APAC</v>
      </c>
      <c r="P15" s="1" t="s">
        <v>25</v>
      </c>
      <c r="Q15" s="1" t="s">
        <v>36</v>
      </c>
      <c r="R15" s="5">
        <f t="shared" si="6"/>
        <v>1</v>
      </c>
      <c r="S15" s="5">
        <f t="shared" si="7"/>
        <v>1</v>
      </c>
    </row>
    <row r="16" ht="15.75" customHeight="1">
      <c r="A16" s="1" t="s">
        <v>70</v>
      </c>
      <c r="B16" s="4">
        <v>46085.0</v>
      </c>
      <c r="C16" s="1" t="str">
        <f t="shared" si="1"/>
        <v>2026_03-04</v>
      </c>
      <c r="D16" s="1" t="s">
        <v>43</v>
      </c>
      <c r="E16" s="1" t="str">
        <f t="shared" si="2"/>
        <v>Alpha Mart</v>
      </c>
      <c r="F16" s="1">
        <v>130000.0</v>
      </c>
      <c r="G16" s="1">
        <f>IFERROR(__xludf.DUMMYFUNCTION("filter(IMPORTRANGE(""https://docs.google.com/spreadsheets/d/1jI6xvE5DuO7D5FJQ-Zus-XTCMMS9FUB4nCuQTw61PD8/edit?gid=40537420#gid=40537420"",""exchange_rates!C2:C19""), I16=IMPORTRANGE(""https://docs.google.com/spreadsheets/d/1jI6xvE5DuO7D5FJQ-Zus-XTCMMS9FUB"&amp;"4nCuQTw61PD8/edit?gid=40537420#gid=40537420"",""exchange_rates!B2:B19""), B16=IMPORTRANGE(""https://docs.google.com/spreadsheets/d/1jI6xvE5DuO7D5FJQ-Zus-XTCMMS9FUB4nCuQTw61PD8/edit?gid=40537420#gid=40537420"",""exchange_rates!A2:A19""))"),0.012)</f>
        <v>0.012</v>
      </c>
      <c r="H16" s="1">
        <f t="shared" si="3"/>
        <v>1560</v>
      </c>
      <c r="I16" s="1" t="s">
        <v>21</v>
      </c>
      <c r="J16" s="1" t="s">
        <v>22</v>
      </c>
      <c r="K16" s="1" t="str">
        <f t="shared" si="4"/>
        <v>Captured</v>
      </c>
      <c r="L16" s="1" t="s">
        <v>71</v>
      </c>
      <c r="M16" s="1">
        <f t="shared" si="5"/>
        <v>52</v>
      </c>
      <c r="O16" s="1" t="str">
        <f>IFERROR(__xludf.DUMMYFUNCTION("VLOOKUP(E16,IMPORTRANGE(""https://docs.google.com/spreadsheets/d/1c8dmeo1Llg3EfYlgkbY12QiVWQkWDFa09vUraIt7_f8/edit?gid=60813055#gid=60813055"",""merchant_master!B2:E6""),4, TRUE)"),"APAC")</f>
        <v>APAC</v>
      </c>
      <c r="P16" s="1" t="s">
        <v>30</v>
      </c>
      <c r="Q16" s="1" t="s">
        <v>31</v>
      </c>
      <c r="R16" s="5">
        <f t="shared" si="6"/>
        <v>0</v>
      </c>
      <c r="S16" s="5">
        <f t="shared" si="7"/>
        <v>0</v>
      </c>
    </row>
    <row r="17" ht="15.75" customHeight="1">
      <c r="A17" s="1" t="s">
        <v>72</v>
      </c>
      <c r="B17" s="4">
        <v>46086.0</v>
      </c>
      <c r="C17" s="1" t="str">
        <f t="shared" si="1"/>
        <v>2026_03-05</v>
      </c>
      <c r="D17" s="1" t="s">
        <v>38</v>
      </c>
      <c r="E17" s="1" t="str">
        <f t="shared" si="2"/>
        <v>Beta Stores</v>
      </c>
      <c r="F17" s="1">
        <v>220000.0</v>
      </c>
      <c r="G17" s="1">
        <f>IFERROR(__xludf.DUMMYFUNCTION("filter(IMPORTRANGE(""https://docs.google.com/spreadsheets/d/1jI6xvE5DuO7D5FJQ-Zus-XTCMMS9FUB4nCuQTw61PD8/edit?gid=40537420#gid=40537420"",""exchange_rates!C2:C19""), I17=IMPORTRANGE(""https://docs.google.com/spreadsheets/d/1jI6xvE5DuO7D5FJQ-Zus-XTCMMS9FUB"&amp;"4nCuQTw61PD8/edit?gid=40537420#gid=40537420"",""exchange_rates!B2:B19""), B17=IMPORTRANGE(""https://docs.google.com/spreadsheets/d/1jI6xvE5DuO7D5FJQ-Zus-XTCMMS9FUB4nCuQTw61PD8/edit?gid=40537420#gid=40537420"",""exchange_rates!A2:A19""))"),0.0118)</f>
        <v>0.0118</v>
      </c>
      <c r="H17" s="1">
        <f t="shared" si="3"/>
        <v>2596</v>
      </c>
      <c r="I17" s="1" t="s">
        <v>21</v>
      </c>
      <c r="J17" s="1" t="s">
        <v>73</v>
      </c>
      <c r="K17" s="1" t="str">
        <f t="shared" si="4"/>
        <v>Failed E05 Timeout</v>
      </c>
      <c r="L17" s="1" t="s">
        <v>74</v>
      </c>
      <c r="M17" s="1">
        <f t="shared" si="5"/>
        <v>69</v>
      </c>
      <c r="O17" s="1" t="str">
        <f>IFERROR(__xludf.DUMMYFUNCTION("VLOOKUP(E17,IMPORTRANGE(""https://docs.google.com/spreadsheets/d/1c8dmeo1Llg3EfYlgkbY12QiVWQkWDFa09vUraIt7_f8/edit?gid=60813055#gid=60813055"",""merchant_master!B2:E6""),4, TRUE)"),"APAC")</f>
        <v>APAC</v>
      </c>
      <c r="P17" s="1" t="s">
        <v>61</v>
      </c>
      <c r="Q17" s="1" t="s">
        <v>31</v>
      </c>
      <c r="R17" s="5">
        <f t="shared" si="6"/>
        <v>0</v>
      </c>
      <c r="S17" s="5">
        <f t="shared" si="7"/>
        <v>0</v>
      </c>
    </row>
    <row r="18" ht="15.75" customHeight="1">
      <c r="A18" s="1" t="s">
        <v>75</v>
      </c>
      <c r="B18" s="4">
        <v>46086.0</v>
      </c>
      <c r="C18" s="1" t="str">
        <f t="shared" si="1"/>
        <v>2026_03-05</v>
      </c>
      <c r="D18" s="1" t="s">
        <v>38</v>
      </c>
      <c r="E18" s="1" t="str">
        <f t="shared" si="2"/>
        <v>Beta Stores</v>
      </c>
      <c r="F18" s="1">
        <v>180000.0</v>
      </c>
      <c r="G18" s="1">
        <f>IFERROR(__xludf.DUMMYFUNCTION("filter(IMPORTRANGE(""https://docs.google.com/spreadsheets/d/1jI6xvE5DuO7D5FJQ-Zus-XTCMMS9FUB4nCuQTw61PD8/edit?gid=40537420#gid=40537420"",""exchange_rates!C2:C19""), I18=IMPORTRANGE(""https://docs.google.com/spreadsheets/d/1jI6xvE5DuO7D5FJQ-Zus-XTCMMS9FUB"&amp;"4nCuQTw61PD8/edit?gid=40537420#gid=40537420"",""exchange_rates!B2:B19""), B18=IMPORTRANGE(""https://docs.google.com/spreadsheets/d/1jI6xvE5DuO7D5FJQ-Zus-XTCMMS9FUB4nCuQTw61PD8/edit?gid=40537420#gid=40537420"",""exchange_rates!A2:A19""))"),0.0118)</f>
        <v>0.0118</v>
      </c>
      <c r="H18" s="1">
        <f t="shared" si="3"/>
        <v>2124</v>
      </c>
      <c r="I18" s="1" t="s">
        <v>21</v>
      </c>
      <c r="J18" s="1" t="s">
        <v>76</v>
      </c>
      <c r="K18" s="1" t="str">
        <f t="shared" si="4"/>
        <v>Failed E05 Timeout</v>
      </c>
      <c r="L18" s="1" t="s">
        <v>77</v>
      </c>
      <c r="M18" s="1">
        <f t="shared" si="5"/>
        <v>72</v>
      </c>
      <c r="N18" s="1" t="s">
        <v>40</v>
      </c>
      <c r="O18" s="1" t="str">
        <f>IFERROR(__xludf.DUMMYFUNCTION("VLOOKUP(E18,IMPORTRANGE(""https://docs.google.com/spreadsheets/d/1c8dmeo1Llg3EfYlgkbY12QiVWQkWDFa09vUraIt7_f8/edit?gid=60813055#gid=60813055"",""merchant_master!B2:E6""),4, TRUE)"),"APAC")</f>
        <v>APAC</v>
      </c>
      <c r="P18" s="1" t="s">
        <v>61</v>
      </c>
      <c r="Q18" s="1" t="s">
        <v>31</v>
      </c>
      <c r="R18" s="5">
        <f t="shared" si="6"/>
        <v>0</v>
      </c>
      <c r="S18" s="5">
        <f t="shared" si="7"/>
        <v>1</v>
      </c>
    </row>
    <row r="19" ht="15.75" customHeight="1">
      <c r="A19" s="1" t="s">
        <v>78</v>
      </c>
      <c r="B19" s="4">
        <v>46086.0</v>
      </c>
      <c r="C19" s="1" t="str">
        <f t="shared" si="1"/>
        <v>2026_03-05</v>
      </c>
      <c r="D19" s="1" t="s">
        <v>33</v>
      </c>
      <c r="E19" s="1" t="str">
        <f t="shared" si="2"/>
        <v>Beta Stores</v>
      </c>
      <c r="F19" s="1">
        <v>145000.0</v>
      </c>
      <c r="G19" s="1">
        <f>IFERROR(__xludf.DUMMYFUNCTION("filter(IMPORTRANGE(""https://docs.google.com/spreadsheets/d/1jI6xvE5DuO7D5FJQ-Zus-XTCMMS9FUB4nCuQTw61PD8/edit?gid=40537420#gid=40537420"",""exchange_rates!C2:C19""), I19=IMPORTRANGE(""https://docs.google.com/spreadsheets/d/1jI6xvE5DuO7D5FJQ-Zus-XTCMMS9FUB"&amp;"4nCuQTw61PD8/edit?gid=40537420#gid=40537420"",""exchange_rates!B2:B19""), B19=IMPORTRANGE(""https://docs.google.com/spreadsheets/d/1jI6xvE5DuO7D5FJQ-Zus-XTCMMS9FUB4nCuQTw61PD8/edit?gid=40537420#gid=40537420"",""exchange_rates!A2:A19""))"),0.0118)</f>
        <v>0.0118</v>
      </c>
      <c r="H19" s="1">
        <f t="shared" si="3"/>
        <v>1711</v>
      </c>
      <c r="I19" s="1" t="s">
        <v>21</v>
      </c>
      <c r="J19" s="1" t="s">
        <v>50</v>
      </c>
      <c r="K19" s="1" t="str">
        <f t="shared" si="4"/>
        <v>Chargeback</v>
      </c>
      <c r="L19" s="1" t="s">
        <v>79</v>
      </c>
      <c r="M19" s="1">
        <f t="shared" si="5"/>
        <v>86</v>
      </c>
      <c r="N19" s="1" t="s">
        <v>24</v>
      </c>
      <c r="O19" s="1" t="str">
        <f>IFERROR(__xludf.DUMMYFUNCTION("VLOOKUP(E19,IMPORTRANGE(""https://docs.google.com/spreadsheets/d/1c8dmeo1Llg3EfYlgkbY12QiVWQkWDFa09vUraIt7_f8/edit?gid=60813055#gid=60813055"",""merchant_master!B2:E6""),4, TRUE)"),"APAC")</f>
        <v>APAC</v>
      </c>
      <c r="P19" s="1" t="s">
        <v>61</v>
      </c>
      <c r="Q19" s="1" t="s">
        <v>26</v>
      </c>
      <c r="R19" s="5">
        <f t="shared" si="6"/>
        <v>0</v>
      </c>
      <c r="S19" s="5">
        <f t="shared" si="7"/>
        <v>1</v>
      </c>
    </row>
    <row r="20" ht="15.75" customHeight="1">
      <c r="A20" s="1" t="s">
        <v>80</v>
      </c>
      <c r="B20" s="4">
        <v>46086.0</v>
      </c>
      <c r="C20" s="1" t="str">
        <f t="shared" si="1"/>
        <v>2026_03-05</v>
      </c>
      <c r="D20" s="1" t="s">
        <v>49</v>
      </c>
      <c r="E20" s="1" t="str">
        <f t="shared" si="2"/>
        <v>Alpha Mart</v>
      </c>
      <c r="F20" s="1">
        <v>260000.0</v>
      </c>
      <c r="G20" s="1">
        <f>IFERROR(__xludf.DUMMYFUNCTION("filter(IMPORTRANGE(""https://docs.google.com/spreadsheets/d/1jI6xvE5DuO7D5FJQ-Zus-XTCMMS9FUB4nCuQTw61PD8/edit?gid=40537420#gid=40537420"",""exchange_rates!C2:C19""), I20=IMPORTRANGE(""https://docs.google.com/spreadsheets/d/1jI6xvE5DuO7D5FJQ-Zus-XTCMMS9FUB"&amp;"4nCuQTw61PD8/edit?gid=40537420#gid=40537420"",""exchange_rates!B2:B19""), B20=IMPORTRANGE(""https://docs.google.com/spreadsheets/d/1jI6xvE5DuO7D5FJQ-Zus-XTCMMS9FUB4nCuQTw61PD8/edit?gid=40537420#gid=40537420"",""exchange_rates!A2:A19""))"),0.0118)</f>
        <v>0.0118</v>
      </c>
      <c r="H20" s="1">
        <f t="shared" si="3"/>
        <v>3068</v>
      </c>
      <c r="I20" s="1" t="s">
        <v>21</v>
      </c>
      <c r="J20" s="1" t="s">
        <v>76</v>
      </c>
      <c r="K20" s="1" t="str">
        <f t="shared" si="4"/>
        <v>Failed E05 Timeout</v>
      </c>
      <c r="L20" s="1" t="s">
        <v>81</v>
      </c>
      <c r="M20" s="1">
        <f t="shared" si="5"/>
        <v>67</v>
      </c>
      <c r="N20" s="1" t="s">
        <v>40</v>
      </c>
      <c r="O20" s="1" t="str">
        <f>IFERROR(__xludf.DUMMYFUNCTION("VLOOKUP(E20,IMPORTRANGE(""https://docs.google.com/spreadsheets/d/1c8dmeo1Llg3EfYlgkbY12QiVWQkWDFa09vUraIt7_f8/edit?gid=60813055#gid=60813055"",""merchant_master!B2:E6""),4, TRUE)"),"APAC")</f>
        <v>APAC</v>
      </c>
      <c r="P20" s="1" t="s">
        <v>61</v>
      </c>
      <c r="Q20" s="1" t="s">
        <v>47</v>
      </c>
      <c r="R20" s="5">
        <f t="shared" si="6"/>
        <v>0</v>
      </c>
      <c r="S20" s="5">
        <f t="shared" si="7"/>
        <v>0</v>
      </c>
    </row>
    <row r="21" ht="15.75" customHeight="1">
      <c r="A21" s="1" t="s">
        <v>82</v>
      </c>
      <c r="B21" s="4">
        <v>46086.0</v>
      </c>
      <c r="C21" s="1" t="str">
        <f t="shared" si="1"/>
        <v>2026_03-05</v>
      </c>
      <c r="D21" s="1" t="s">
        <v>43</v>
      </c>
      <c r="E21" s="1" t="str">
        <f t="shared" si="2"/>
        <v>Alpha Mart</v>
      </c>
      <c r="F21" s="1">
        <v>520000.0</v>
      </c>
      <c r="G21" s="1">
        <f>IFERROR(__xludf.DUMMYFUNCTION("filter(IMPORTRANGE(""https://docs.google.com/spreadsheets/d/1jI6xvE5DuO7D5FJQ-Zus-XTCMMS9FUB4nCuQTw61PD8/edit?gid=40537420#gid=40537420"",""exchange_rates!C2:C19""), I21=IMPORTRANGE(""https://docs.google.com/spreadsheets/d/1jI6xvE5DuO7D5FJQ-Zus-XTCMMS9FUB"&amp;"4nCuQTw61PD8/edit?gid=40537420#gid=40537420"",""exchange_rates!B2:B19""), B21=IMPORTRANGE(""https://docs.google.com/spreadsheets/d/1jI6xvE5DuO7D5FJQ-Zus-XTCMMS9FUB4nCuQTw61PD8/edit?gid=40537420#gid=40537420"",""exchange_rates!A2:A19""))"),0.0118)</f>
        <v>0.0118</v>
      </c>
      <c r="H21" s="1">
        <f t="shared" si="3"/>
        <v>6136</v>
      </c>
      <c r="I21" s="1" t="s">
        <v>21</v>
      </c>
      <c r="J21" s="1" t="s">
        <v>29</v>
      </c>
      <c r="K21" s="1" t="str">
        <f t="shared" si="4"/>
        <v>Captured</v>
      </c>
      <c r="L21" s="1">
        <v>75.0</v>
      </c>
      <c r="M21" s="1">
        <f t="shared" si="5"/>
        <v>75</v>
      </c>
      <c r="N21" s="1" t="s">
        <v>24</v>
      </c>
      <c r="O21" s="1" t="str">
        <f>IFERROR(__xludf.DUMMYFUNCTION("VLOOKUP(E21,IMPORTRANGE(""https://docs.google.com/spreadsheets/d/1c8dmeo1Llg3EfYlgkbY12QiVWQkWDFa09vUraIt7_f8/edit?gid=60813055#gid=60813055"",""merchant_master!B2:E6""),4, TRUE)"),"APAC")</f>
        <v>APAC</v>
      </c>
      <c r="P21" s="1" t="s">
        <v>46</v>
      </c>
      <c r="Q21" s="1" t="s">
        <v>26</v>
      </c>
      <c r="R21" s="5">
        <f t="shared" si="6"/>
        <v>1</v>
      </c>
      <c r="S21" s="5">
        <f t="shared" si="7"/>
        <v>1</v>
      </c>
    </row>
    <row r="22" ht="15.75" customHeight="1">
      <c r="A22" s="1" t="s">
        <v>83</v>
      </c>
      <c r="B22" s="4">
        <v>46087.0</v>
      </c>
      <c r="C22" s="1" t="str">
        <f t="shared" si="1"/>
        <v>2026_03-06</v>
      </c>
      <c r="D22" s="1" t="s">
        <v>84</v>
      </c>
      <c r="E22" s="1" t="str">
        <f t="shared" si="2"/>
        <v>Beta Stores</v>
      </c>
      <c r="F22" s="1">
        <v>330000.0</v>
      </c>
      <c r="G22" s="1">
        <f>IFERROR(__xludf.DUMMYFUNCTION("filter(IMPORTRANGE(""https://docs.google.com/spreadsheets/d/1jI6xvE5DuO7D5FJQ-Zus-XTCMMS9FUB4nCuQTw61PD8/edit?gid=40537420#gid=40537420"",""exchange_rates!C2:C19""), I22=IMPORTRANGE(""https://docs.google.com/spreadsheets/d/1jI6xvE5DuO7D5FJQ-Zus-XTCMMS9FUB"&amp;"4nCuQTw61PD8/edit?gid=40537420#gid=40537420"",""exchange_rates!B2:B19""), B22=IMPORTRANGE(""https://docs.google.com/spreadsheets/d/1jI6xvE5DuO7D5FJQ-Zus-XTCMMS9FUB4nCuQTw61PD8/edit?gid=40537420#gid=40537420"",""exchange_rates!A2:A19""))"),0.0119)</f>
        <v>0.0119</v>
      </c>
      <c r="H22" s="1">
        <f t="shared" si="3"/>
        <v>3927</v>
      </c>
      <c r="I22" s="1" t="s">
        <v>21</v>
      </c>
      <c r="J22" s="1" t="s">
        <v>22</v>
      </c>
      <c r="K22" s="1" t="str">
        <f t="shared" si="4"/>
        <v>Captured</v>
      </c>
      <c r="L22" s="1" t="s">
        <v>85</v>
      </c>
      <c r="M22" s="1">
        <f t="shared" si="5"/>
        <v>63</v>
      </c>
      <c r="O22" s="1" t="str">
        <f>IFERROR(__xludf.DUMMYFUNCTION("VLOOKUP(E22,IMPORTRANGE(""https://docs.google.com/spreadsheets/d/1c8dmeo1Llg3EfYlgkbY12QiVWQkWDFa09vUraIt7_f8/edit?gid=60813055#gid=60813055"",""merchant_master!B2:E6""),4, TRUE)"),"APAC")</f>
        <v>APAC</v>
      </c>
      <c r="P22" s="1" t="s">
        <v>52</v>
      </c>
      <c r="Q22" s="1" t="s">
        <v>31</v>
      </c>
      <c r="R22" s="5">
        <f t="shared" si="6"/>
        <v>0</v>
      </c>
      <c r="S22" s="5">
        <f t="shared" si="7"/>
        <v>0</v>
      </c>
    </row>
    <row r="23" ht="15.75" customHeight="1">
      <c r="A23" s="1" t="s">
        <v>86</v>
      </c>
      <c r="B23" s="4">
        <v>46087.0</v>
      </c>
      <c r="C23" s="1" t="str">
        <f t="shared" si="1"/>
        <v>2026_03-06</v>
      </c>
      <c r="D23" s="1" t="s">
        <v>28</v>
      </c>
      <c r="E23" s="1" t="str">
        <f t="shared" si="2"/>
        <v>Alpha Mart</v>
      </c>
      <c r="F23" s="1">
        <v>410000.0</v>
      </c>
      <c r="G23" s="1">
        <f>IFERROR(__xludf.DUMMYFUNCTION("filter(IMPORTRANGE(""https://docs.google.com/spreadsheets/d/1jI6xvE5DuO7D5FJQ-Zus-XTCMMS9FUB4nCuQTw61PD8/edit?gid=40537420#gid=40537420"",""exchange_rates!C2:C19""), I23=IMPORTRANGE(""https://docs.google.com/spreadsheets/d/1jI6xvE5DuO7D5FJQ-Zus-XTCMMS9FUB"&amp;"4nCuQTw61PD8/edit?gid=40537420#gid=40537420"",""exchange_rates!B2:B19""), B23=IMPORTRANGE(""https://docs.google.com/spreadsheets/d/1jI6xvE5DuO7D5FJQ-Zus-XTCMMS9FUB4nCuQTw61PD8/edit?gid=40537420#gid=40537420"",""exchange_rates!A2:A19""))"),0.0119)</f>
        <v>0.0119</v>
      </c>
      <c r="H23" s="1">
        <f t="shared" si="3"/>
        <v>4879</v>
      </c>
      <c r="I23" s="1" t="s">
        <v>21</v>
      </c>
      <c r="J23" s="1" t="s">
        <v>22</v>
      </c>
      <c r="K23" s="1" t="str">
        <f t="shared" si="4"/>
        <v>Captured</v>
      </c>
      <c r="L23" s="1">
        <v>60.0</v>
      </c>
      <c r="M23" s="1">
        <f t="shared" si="5"/>
        <v>60</v>
      </c>
      <c r="N23" s="1" t="s">
        <v>24</v>
      </c>
      <c r="O23" s="1" t="str">
        <f>IFERROR(__xludf.DUMMYFUNCTION("VLOOKUP(E23,IMPORTRANGE(""https://docs.google.com/spreadsheets/d/1c8dmeo1Llg3EfYlgkbY12QiVWQkWDFa09vUraIt7_f8/edit?gid=60813055#gid=60813055"",""merchant_master!B2:E6""),4, TRUE)"),"APAC")</f>
        <v>APAC</v>
      </c>
      <c r="P23" s="1" t="s">
        <v>54</v>
      </c>
      <c r="Q23" s="1" t="s">
        <v>26</v>
      </c>
      <c r="R23" s="5">
        <f t="shared" si="6"/>
        <v>0</v>
      </c>
      <c r="S23" s="5">
        <f t="shared" si="7"/>
        <v>0</v>
      </c>
    </row>
    <row r="24" ht="15.75" customHeight="1">
      <c r="A24" s="1" t="s">
        <v>87</v>
      </c>
      <c r="B24" s="4">
        <v>46082.0</v>
      </c>
      <c r="C24" s="1" t="str">
        <f t="shared" si="1"/>
        <v>2026_03-01</v>
      </c>
      <c r="D24" s="1" t="s">
        <v>88</v>
      </c>
      <c r="E24" s="1" t="str">
        <f t="shared" si="2"/>
        <v>City Pharma</v>
      </c>
      <c r="F24" s="1">
        <v>5200.0</v>
      </c>
      <c r="G24" s="1">
        <f>IFERROR(__xludf.DUMMYFUNCTION("filter(IMPORTRANGE(""https://docs.google.com/spreadsheets/d/1jI6xvE5DuO7D5FJQ-Zus-XTCMMS9FUB4nCuQTw61PD8/edit?gid=40537420#gid=40537420"",""exchange_rates!C2:C19""), I24=IMPORTRANGE(""https://docs.google.com/spreadsheets/d/1jI6xvE5DuO7D5FJQ-Zus-XTCMMS9FUB"&amp;"4nCuQTw61PD8/edit?gid=40537420#gid=40537420"",""exchange_rates!B2:B19""), B24=IMPORTRANGE(""https://docs.google.com/spreadsheets/d/1jI6xvE5DuO7D5FJQ-Zus-XTCMMS9FUB4nCuQTw61PD8/edit?gid=40537420#gid=40537420"",""exchange_rates!A2:A19""))"),1.08)</f>
        <v>1.08</v>
      </c>
      <c r="H24" s="1">
        <f t="shared" si="3"/>
        <v>5616</v>
      </c>
      <c r="I24" s="1" t="s">
        <v>89</v>
      </c>
      <c r="J24" s="1" t="s">
        <v>29</v>
      </c>
      <c r="K24" s="1" t="str">
        <f t="shared" si="4"/>
        <v>Captured</v>
      </c>
      <c r="L24" s="1">
        <v>42.0</v>
      </c>
      <c r="M24" s="1">
        <f t="shared" si="5"/>
        <v>42</v>
      </c>
      <c r="N24" s="1" t="s">
        <v>90</v>
      </c>
      <c r="O24" s="1" t="str">
        <f>IFERROR(__xludf.DUMMYFUNCTION("VLOOKUP(E24,IMPORTRANGE(""https://docs.google.com/spreadsheets/d/1c8dmeo1Llg3EfYlgkbY12QiVWQkWDFa09vUraIt7_f8/edit?gid=60813055#gid=60813055"",""merchant_master!B2:E6""),4, TRUE)"),"EU")</f>
        <v>EU</v>
      </c>
      <c r="P24" s="1" t="s">
        <v>35</v>
      </c>
      <c r="Q24" s="1" t="s">
        <v>31</v>
      </c>
      <c r="R24" s="5">
        <f t="shared" si="6"/>
        <v>0</v>
      </c>
      <c r="S24" s="5">
        <f t="shared" si="7"/>
        <v>0</v>
      </c>
    </row>
    <row r="25" ht="15.75" customHeight="1">
      <c r="A25" s="1" t="s">
        <v>91</v>
      </c>
      <c r="B25" s="4">
        <v>46083.0</v>
      </c>
      <c r="C25" s="1" t="str">
        <f t="shared" si="1"/>
        <v>2026_03-02</v>
      </c>
      <c r="D25" s="1" t="s">
        <v>92</v>
      </c>
      <c r="E25" s="1" t="str">
        <f t="shared" si="2"/>
        <v>Eco Home</v>
      </c>
      <c r="F25" s="1">
        <v>6100.0</v>
      </c>
      <c r="G25" s="1">
        <f>IFERROR(__xludf.DUMMYFUNCTION("filter(IMPORTRANGE(""https://docs.google.com/spreadsheets/d/1jI6xvE5DuO7D5FJQ-Zus-XTCMMS9FUB4nCuQTw61PD8/edit?gid=40537420#gid=40537420"",""exchange_rates!C2:C19""), I25=IMPORTRANGE(""https://docs.google.com/spreadsheets/d/1jI6xvE5DuO7D5FJQ-Zus-XTCMMS9FUB"&amp;"4nCuQTw61PD8/edit?gid=40537420#gid=40537420"",""exchange_rates!B2:B19""), B25=IMPORTRANGE(""https://docs.google.com/spreadsheets/d/1jI6xvE5DuO7D5FJQ-Zus-XTCMMS9FUB4nCuQTw61PD8/edit?gid=40537420#gid=40537420"",""exchange_rates!A2:A19""))"),1.09)</f>
        <v>1.09</v>
      </c>
      <c r="H25" s="1">
        <f t="shared" si="3"/>
        <v>6649</v>
      </c>
      <c r="I25" s="1" t="s">
        <v>89</v>
      </c>
      <c r="J25" s="1" t="s">
        <v>50</v>
      </c>
      <c r="K25" s="1" t="str">
        <f t="shared" si="4"/>
        <v>Chargeback</v>
      </c>
      <c r="L25" s="1" t="s">
        <v>93</v>
      </c>
      <c r="M25" s="1">
        <f t="shared" si="5"/>
        <v>65</v>
      </c>
      <c r="N25" s="1" t="s">
        <v>90</v>
      </c>
      <c r="O25" s="1" t="str">
        <f>IFERROR(__xludf.DUMMYFUNCTION("VLOOKUP(E25,IMPORTRANGE(""https://docs.google.com/spreadsheets/d/1c8dmeo1Llg3EfYlgkbY12QiVWQkWDFa09vUraIt7_f8/edit?gid=60813055#gid=60813055"",""merchant_master!B2:E6""),4, TRUE)"),"EU")</f>
        <v>EU</v>
      </c>
      <c r="P25" s="1" t="s">
        <v>41</v>
      </c>
      <c r="Q25" s="1" t="s">
        <v>31</v>
      </c>
      <c r="R25" s="5">
        <f t="shared" si="6"/>
        <v>1</v>
      </c>
      <c r="S25" s="5">
        <f t="shared" si="7"/>
        <v>1</v>
      </c>
    </row>
    <row r="26" ht="15.75" customHeight="1">
      <c r="A26" s="1" t="s">
        <v>94</v>
      </c>
      <c r="B26" s="4">
        <v>46084.0</v>
      </c>
      <c r="C26" s="1" t="str">
        <f t="shared" si="1"/>
        <v>2026_03-03</v>
      </c>
      <c r="D26" s="1" t="s">
        <v>88</v>
      </c>
      <c r="E26" s="1" t="str">
        <f t="shared" si="2"/>
        <v>City Pharma</v>
      </c>
      <c r="F26" s="1">
        <v>2800.0</v>
      </c>
      <c r="G26" s="1">
        <f>IFERROR(__xludf.DUMMYFUNCTION("filter(IMPORTRANGE(""https://docs.google.com/spreadsheets/d/1jI6xvE5DuO7D5FJQ-Zus-XTCMMS9FUB4nCuQTw61PD8/edit?gid=40537420#gid=40537420"",""exchange_rates!C2:C19""), I26=IMPORTRANGE(""https://docs.google.com/spreadsheets/d/1jI6xvE5DuO7D5FJQ-Zus-XTCMMS9FUB"&amp;"4nCuQTw61PD8/edit?gid=40537420#gid=40537420"",""exchange_rates!B2:B19""), B26=IMPORTRANGE(""https://docs.google.com/spreadsheets/d/1jI6xvE5DuO7D5FJQ-Zus-XTCMMS9FUB4nCuQTw61PD8/edit?gid=40537420#gid=40537420"",""exchange_rates!A2:A19""))"),1.08)</f>
        <v>1.08</v>
      </c>
      <c r="H26" s="1">
        <f t="shared" si="3"/>
        <v>3024</v>
      </c>
      <c r="I26" s="1" t="s">
        <v>89</v>
      </c>
      <c r="J26" s="1" t="s">
        <v>22</v>
      </c>
      <c r="K26" s="1" t="str">
        <f t="shared" si="4"/>
        <v>Captured</v>
      </c>
      <c r="L26" s="1">
        <v>38.0</v>
      </c>
      <c r="M26" s="1">
        <f t="shared" si="5"/>
        <v>38</v>
      </c>
      <c r="N26" s="1" t="s">
        <v>95</v>
      </c>
      <c r="O26" s="1" t="str">
        <f>IFERROR(__xludf.DUMMYFUNCTION("VLOOKUP(E26,IMPORTRANGE(""https://docs.google.com/spreadsheets/d/1c8dmeo1Llg3EfYlgkbY12QiVWQkWDFa09vUraIt7_f8/edit?gid=60813055#gid=60813055"",""merchant_master!B2:E6""),4, TRUE)"),"EU")</f>
        <v>EU</v>
      </c>
      <c r="P26" s="1" t="s">
        <v>46</v>
      </c>
      <c r="Q26" s="1" t="s">
        <v>47</v>
      </c>
      <c r="R26" s="5">
        <f t="shared" si="6"/>
        <v>0</v>
      </c>
      <c r="S26" s="5">
        <f t="shared" si="7"/>
        <v>0</v>
      </c>
    </row>
    <row r="27" ht="15.75" customHeight="1">
      <c r="A27" s="1" t="s">
        <v>96</v>
      </c>
      <c r="B27" s="4">
        <v>46086.0</v>
      </c>
      <c r="C27" s="1" t="str">
        <f t="shared" si="1"/>
        <v>2026_03-05</v>
      </c>
      <c r="D27" s="1" t="s">
        <v>92</v>
      </c>
      <c r="E27" s="1" t="str">
        <f t="shared" si="2"/>
        <v>Eco Home</v>
      </c>
      <c r="F27" s="1">
        <v>3300.0</v>
      </c>
      <c r="G27" s="1">
        <f>IFERROR(__xludf.DUMMYFUNCTION("filter(IMPORTRANGE(""https://docs.google.com/spreadsheets/d/1jI6xvE5DuO7D5FJQ-Zus-XTCMMS9FUB4nCuQTw61PD8/edit?gid=40537420#gid=40537420"",""exchange_rates!C2:C19""), I27=IMPORTRANGE(""https://docs.google.com/spreadsheets/d/1jI6xvE5DuO7D5FJQ-Zus-XTCMMS9FUB"&amp;"4nCuQTw61PD8/edit?gid=40537420#gid=40537420"",""exchange_rates!B2:B19""), B27=IMPORTRANGE(""https://docs.google.com/spreadsheets/d/1jI6xvE5DuO7D5FJQ-Zus-XTCMMS9FUB4nCuQTw61PD8/edit?gid=40537420#gid=40537420"",""exchange_rates!A2:A19""))"),1.09)</f>
        <v>1.09</v>
      </c>
      <c r="H27" s="1">
        <f t="shared" si="3"/>
        <v>3597</v>
      </c>
      <c r="I27" s="1" t="s">
        <v>89</v>
      </c>
      <c r="J27" s="1" t="s">
        <v>76</v>
      </c>
      <c r="K27" s="1" t="str">
        <f t="shared" si="4"/>
        <v>Failed E05 Timeout</v>
      </c>
      <c r="L27" s="1">
        <v>44.0</v>
      </c>
      <c r="M27" s="1">
        <f t="shared" si="5"/>
        <v>44</v>
      </c>
      <c r="N27" s="1" t="s">
        <v>90</v>
      </c>
      <c r="O27" s="1" t="str">
        <f>IFERROR(__xludf.DUMMYFUNCTION("VLOOKUP(E27,IMPORTRANGE(""https://docs.google.com/spreadsheets/d/1c8dmeo1Llg3EfYlgkbY12QiVWQkWDFa09vUraIt7_f8/edit?gid=60813055#gid=60813055"",""merchant_master!B2:E6""),4, TRUE)"),"EU")</f>
        <v>EU</v>
      </c>
      <c r="P27" s="1" t="s">
        <v>52</v>
      </c>
      <c r="Q27" s="1" t="s">
        <v>36</v>
      </c>
      <c r="R27" s="5">
        <f t="shared" si="6"/>
        <v>0</v>
      </c>
      <c r="S27" s="5">
        <f t="shared" si="7"/>
        <v>0</v>
      </c>
    </row>
    <row r="28" ht="15.75" customHeight="1">
      <c r="A28" s="1" t="s">
        <v>97</v>
      </c>
      <c r="B28" s="4">
        <v>46082.0</v>
      </c>
      <c r="C28" s="1" t="str">
        <f t="shared" si="1"/>
        <v>2026_03-01</v>
      </c>
      <c r="D28" s="1" t="s">
        <v>98</v>
      </c>
      <c r="E28" s="1" t="str">
        <f t="shared" si="2"/>
        <v>Delta Travels</v>
      </c>
      <c r="F28" s="1">
        <v>7200.0</v>
      </c>
      <c r="G28" s="1">
        <f>IFERROR(__xludf.DUMMYFUNCTION("filter(IMPORTRANGE(""https://docs.google.com/spreadsheets/d/1jI6xvE5DuO7D5FJQ-Zus-XTCMMS9FUB4nCuQTw61PD8/edit?gid=40537420#gid=40537420"",""exchange_rates!C2:C19""), I28=IMPORTRANGE(""https://docs.google.com/spreadsheets/d/1jI6xvE5DuO7D5FJQ-Zus-XTCMMS9FUB"&amp;"4nCuQTw61PD8/edit?gid=40537420#gid=40537420"",""exchange_rates!B2:B19""), B28=IMPORTRANGE(""https://docs.google.com/spreadsheets/d/1jI6xvE5DuO7D5FJQ-Zus-XTCMMS9FUB4nCuQTw61PD8/edit?gid=40537420#gid=40537420"",""exchange_rates!A2:A19""))"),1.0)</f>
        <v>1</v>
      </c>
      <c r="H28" s="1">
        <f t="shared" si="3"/>
        <v>7200</v>
      </c>
      <c r="I28" s="1" t="s">
        <v>99</v>
      </c>
      <c r="J28" s="1" t="s">
        <v>22</v>
      </c>
      <c r="K28" s="1" t="str">
        <f t="shared" si="4"/>
        <v>Captured</v>
      </c>
      <c r="L28" s="1">
        <v>49.0</v>
      </c>
      <c r="M28" s="1">
        <f t="shared" si="5"/>
        <v>49</v>
      </c>
      <c r="N28" s="1" t="s">
        <v>100</v>
      </c>
      <c r="O28" s="1" t="str">
        <f>IFERROR(__xludf.DUMMYFUNCTION("VLOOKUP(E28,IMPORTRANGE(""https://docs.google.com/spreadsheets/d/1c8dmeo1Llg3EfYlgkbY12QiVWQkWDFa09vUraIt7_f8/edit?gid=60813055#gid=60813055"",""merchant_master!B2:E6""),4, TRUE)"),"US")</f>
        <v>US</v>
      </c>
      <c r="P28" s="1" t="s">
        <v>54</v>
      </c>
      <c r="Q28" s="1" t="s">
        <v>31</v>
      </c>
      <c r="R28" s="5">
        <f t="shared" si="6"/>
        <v>1</v>
      </c>
      <c r="S28" s="5">
        <f t="shared" si="7"/>
        <v>0</v>
      </c>
    </row>
    <row r="29" ht="15.75" customHeight="1">
      <c r="A29" s="1" t="s">
        <v>101</v>
      </c>
      <c r="B29" s="4">
        <v>46083.0</v>
      </c>
      <c r="C29" s="1" t="str">
        <f t="shared" si="1"/>
        <v>2026_03-02</v>
      </c>
      <c r="D29" s="1" t="s">
        <v>102</v>
      </c>
      <c r="E29" s="1" t="str">
        <f t="shared" si="2"/>
        <v>Delta Travels</v>
      </c>
      <c r="F29" s="1">
        <v>3100.0</v>
      </c>
      <c r="G29" s="1">
        <f>IFERROR(__xludf.DUMMYFUNCTION("filter(IMPORTRANGE(""https://docs.google.com/spreadsheets/d/1jI6xvE5DuO7D5FJQ-Zus-XTCMMS9FUB4nCuQTw61PD8/edit?gid=40537420#gid=40537420"",""exchange_rates!C2:C19""), I29=IMPORTRANGE(""https://docs.google.com/spreadsheets/d/1jI6xvE5DuO7D5FJQ-Zus-XTCMMS9FUB"&amp;"4nCuQTw61PD8/edit?gid=40537420#gid=40537420"",""exchange_rates!B2:B19""), B29=IMPORTRANGE(""https://docs.google.com/spreadsheets/d/1jI6xvE5DuO7D5FJQ-Zus-XTCMMS9FUB4nCuQTw61PD8/edit?gid=40537420#gid=40537420"",""exchange_rates!A2:A19""))"),1.0)</f>
        <v>1</v>
      </c>
      <c r="H29" s="1">
        <f t="shared" si="3"/>
        <v>3100</v>
      </c>
      <c r="I29" s="1" t="s">
        <v>99</v>
      </c>
      <c r="J29" s="1" t="s">
        <v>34</v>
      </c>
      <c r="K29" s="1" t="str">
        <f t="shared" si="4"/>
        <v>Captured</v>
      </c>
      <c r="L29" s="1" t="s">
        <v>103</v>
      </c>
      <c r="M29" s="1">
        <f t="shared" si="5"/>
        <v>41</v>
      </c>
      <c r="N29" s="1" t="s">
        <v>104</v>
      </c>
      <c r="O29" s="1" t="str">
        <f>IFERROR(__xludf.DUMMYFUNCTION("VLOOKUP(E29,IMPORTRANGE(""https://docs.google.com/spreadsheets/d/1c8dmeo1Llg3EfYlgkbY12QiVWQkWDFa09vUraIt7_f8/edit?gid=60813055#gid=60813055"",""merchant_master!B2:E6""),4, TRUE)"),"US")</f>
        <v>US</v>
      </c>
      <c r="P29" s="1" t="s">
        <v>61</v>
      </c>
      <c r="Q29" s="1" t="s">
        <v>31</v>
      </c>
      <c r="R29" s="5">
        <f t="shared" si="6"/>
        <v>0</v>
      </c>
      <c r="S29" s="5">
        <f t="shared" si="7"/>
        <v>0</v>
      </c>
    </row>
    <row r="30" ht="15.75" customHeight="1">
      <c r="A30" s="1" t="s">
        <v>105</v>
      </c>
      <c r="B30" s="4">
        <v>46085.0</v>
      </c>
      <c r="C30" s="1" t="str">
        <f t="shared" si="1"/>
        <v>2026_03-04</v>
      </c>
      <c r="D30" s="1" t="s">
        <v>106</v>
      </c>
      <c r="E30" s="1" t="str">
        <f t="shared" si="2"/>
        <v>Delta Travels</v>
      </c>
      <c r="F30" s="1">
        <v>2500.0</v>
      </c>
      <c r="G30" s="1">
        <f>IFERROR(__xludf.DUMMYFUNCTION("filter(IMPORTRANGE(""https://docs.google.com/spreadsheets/d/1jI6xvE5DuO7D5FJQ-Zus-XTCMMS9FUB4nCuQTw61PD8/edit?gid=40537420#gid=40537420"",""exchange_rates!C2:C19""), I30=IMPORTRANGE(""https://docs.google.com/spreadsheets/d/1jI6xvE5DuO7D5FJQ-Zus-XTCMMS9FUB"&amp;"4nCuQTw61PD8/edit?gid=40537420#gid=40537420"",""exchange_rates!B2:B19""), B30=IMPORTRANGE(""https://docs.google.com/spreadsheets/d/1jI6xvE5DuO7D5FJQ-Zus-XTCMMS9FUB4nCuQTw61PD8/edit?gid=40537420#gid=40537420"",""exchange_rates!A2:A19""))"),1.0)</f>
        <v>1</v>
      </c>
      <c r="H30" s="1">
        <f t="shared" si="3"/>
        <v>2500</v>
      </c>
      <c r="I30" s="1" t="s">
        <v>99</v>
      </c>
      <c r="J30" s="1" t="s">
        <v>50</v>
      </c>
      <c r="K30" s="1" t="str">
        <f t="shared" si="4"/>
        <v>Chargeback</v>
      </c>
      <c r="L30" s="1" t="s">
        <v>107</v>
      </c>
      <c r="M30" s="1">
        <f t="shared" si="5"/>
        <v>58</v>
      </c>
      <c r="N30" s="1" t="s">
        <v>104</v>
      </c>
      <c r="O30" s="1" t="str">
        <f>IFERROR(__xludf.DUMMYFUNCTION("VLOOKUP(E30,IMPORTRANGE(""https://docs.google.com/spreadsheets/d/1c8dmeo1Llg3EfYlgkbY12QiVWQkWDFa09vUraIt7_f8/edit?gid=60813055#gid=60813055"",""merchant_master!B2:E6""),4, TRUE)"),"US")</f>
        <v>US</v>
      </c>
      <c r="P30" s="1" t="s">
        <v>64</v>
      </c>
      <c r="Q30" s="1" t="s">
        <v>47</v>
      </c>
      <c r="R30" s="5">
        <f t="shared" si="6"/>
        <v>0</v>
      </c>
      <c r="S30" s="5">
        <f t="shared" si="7"/>
        <v>1</v>
      </c>
    </row>
    <row r="31" ht="15.75" customHeight="1">
      <c r="A31" s="1" t="s">
        <v>108</v>
      </c>
      <c r="B31" s="4">
        <v>46087.0</v>
      </c>
      <c r="C31" s="1" t="str">
        <f t="shared" si="1"/>
        <v>2026_03-06</v>
      </c>
      <c r="D31" s="1" t="s">
        <v>98</v>
      </c>
      <c r="E31" s="1" t="str">
        <f t="shared" si="2"/>
        <v>Delta Travels</v>
      </c>
      <c r="F31" s="1">
        <v>1800.0</v>
      </c>
      <c r="G31" s="1">
        <f>IFERROR(__xludf.DUMMYFUNCTION("filter(IMPORTRANGE(""https://docs.google.com/spreadsheets/d/1jI6xvE5DuO7D5FJQ-Zus-XTCMMS9FUB4nCuQTw61PD8/edit?gid=40537420#gid=40537420"",""exchange_rates!C2:C19""), I31=IMPORTRANGE(""https://docs.google.com/spreadsheets/d/1jI6xvE5DuO7D5FJQ-Zus-XTCMMS9FUB"&amp;"4nCuQTw61PD8/edit?gid=40537420#gid=40537420"",""exchange_rates!B2:B19""), B31=IMPORTRANGE(""https://docs.google.com/spreadsheets/d/1jI6xvE5DuO7D5FJQ-Zus-XTCMMS9FUB4nCuQTw61PD8/edit?gid=40537420#gid=40537420"",""exchange_rates!A2:A19""))"),1.0)</f>
        <v>1</v>
      </c>
      <c r="H31" s="1">
        <f t="shared" si="3"/>
        <v>1800</v>
      </c>
      <c r="I31" s="1" t="s">
        <v>99</v>
      </c>
      <c r="J31" s="1" t="s">
        <v>76</v>
      </c>
      <c r="K31" s="1" t="str">
        <f t="shared" si="4"/>
        <v>Failed E05 Timeout</v>
      </c>
      <c r="L31" s="1" t="s">
        <v>109</v>
      </c>
      <c r="M31" s="1">
        <f t="shared" si="5"/>
        <v>47</v>
      </c>
      <c r="N31" s="1" t="s">
        <v>104</v>
      </c>
      <c r="O31" s="1" t="str">
        <f>IFERROR(__xludf.DUMMYFUNCTION("VLOOKUP(E31,IMPORTRANGE(""https://docs.google.com/spreadsheets/d/1c8dmeo1Llg3EfYlgkbY12QiVWQkWDFa09vUraIt7_f8/edit?gid=60813055#gid=60813055"",""merchant_master!B2:E6""),4, TRUE)"),"US")</f>
        <v>US</v>
      </c>
      <c r="P31" s="1" t="s">
        <v>67</v>
      </c>
      <c r="Q31" s="1" t="s">
        <v>26</v>
      </c>
      <c r="R31" s="5">
        <f t="shared" si="6"/>
        <v>0</v>
      </c>
      <c r="S31" s="5">
        <f t="shared" si="7"/>
        <v>0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AG$31"/>
  <drawing r:id="rId1"/>
</worksheet>
</file>