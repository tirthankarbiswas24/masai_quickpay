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_raw" sheetId="1" r:id="rId4"/>
    <sheet state="visible" name="PivotTables" sheetId="2" r:id="rId5"/>
    <sheet state="visible" name="cleaned_transactions" sheetId="3" r:id="rId6"/>
    <sheet state="visible" name="merchant_risk_summary" sheetId="4" r:id="rId7"/>
    <sheet state="visible" name="merchant_master" sheetId="5" r:id="rId8"/>
    <sheet state="visible" name="gateway" sheetId="6" r:id="rId9"/>
    <sheet state="visible" name="exchange_rates" sheetId="7" r:id="rId10"/>
    <sheet state="visible" name="ledger" sheetId="8" r:id="rId11"/>
    <sheet state="visible" name="users" sheetId="9" r:id="rId12"/>
  </sheets>
  <definedNames>
    <definedName hidden="1" localSheetId="0" name="_xlnm._FilterDatabase">transactions_raw!$A$1:$AG$32</definedName>
  </definedNames>
  <calcPr/>
  <pivotCaches>
    <pivotCache cacheId="0" r:id="rId13"/>
  </pivotCaches>
  <extLst>
    <ext uri="GoogleSheetsCustomDataVersion2">
      <go:sheetsCustomData xmlns:go="http://customooxmlschemas.google.com/" r:id="rId14" roundtripDataChecksum="whnQJcmvotHogGuyCQfp3Shs4AtVzj3RkmJfU0xJVzE="/>
    </ext>
  </extLst>
</workbook>
</file>

<file path=xl/sharedStrings.xml><?xml version="1.0" encoding="utf-8"?>
<sst xmlns="http://schemas.openxmlformats.org/spreadsheetml/2006/main" count="910" uniqueCount="171">
  <si>
    <t>transaction_id</t>
  </si>
  <si>
    <t>transaction_date</t>
  </si>
  <si>
    <t>transaction_date_cleaned</t>
  </si>
  <si>
    <t>merchant_name</t>
  </si>
  <si>
    <t>merchant_name_cleaned</t>
  </si>
  <si>
    <t>raw_amount</t>
  </si>
  <si>
    <t>currency_value_in_USD</t>
  </si>
  <si>
    <t>raw_amount_USD</t>
  </si>
  <si>
    <t>currency</t>
  </si>
  <si>
    <t>status</t>
  </si>
  <si>
    <t>status_cleaned</t>
  </si>
  <si>
    <t>risk_score</t>
  </si>
  <si>
    <t>risk_score_cleaned</t>
  </si>
  <si>
    <t>gateway_region</t>
  </si>
  <si>
    <t>gateway_region_cleaned</t>
  </si>
  <si>
    <t>user_id</t>
  </si>
  <si>
    <t>payment_method</t>
  </si>
  <si>
    <t>high_value_flag</t>
  </si>
  <si>
    <t>high_risk_flag</t>
  </si>
  <si>
    <t>T001</t>
  </si>
  <si>
    <t>alpha mart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</si>
  <si>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</si>
  <si>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</si>
  <si>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</si>
  <si>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</si>
  <si>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</si>
  <si>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</si>
  <si>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</si>
  <si>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</si>
  <si>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>Captured</t>
  </si>
  <si>
    <t>U002</t>
  </si>
  <si>
    <t>Card</t>
  </si>
  <si>
    <t>T003</t>
  </si>
  <si>
    <t>BETA STORES</t>
  </si>
  <si>
    <t>CAPTURED</t>
  </si>
  <si>
    <t>U003</t>
  </si>
  <si>
    <t>NetBanking</t>
  </si>
  <si>
    <t>T004</t>
  </si>
  <si>
    <t>Beta  Stores</t>
  </si>
  <si>
    <t>failed e05 timeout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</si>
  <si>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</si>
  <si>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</si>
  <si>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</si>
  <si>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</si>
  <si>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</si>
  <si>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</si>
  <si>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</si>
  <si>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</si>
  <si>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</si>
  <si>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</si>
  <si>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</si>
  <si>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</si>
  <si>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</si>
  <si>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</si>
  <si>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</si>
  <si>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</si>
  <si>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</si>
  <si>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</si>
  <si>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</si>
  <si>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</si>
  <si>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</si>
  <si>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</si>
  <si>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</si>
  <si>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</si>
  <si>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</si>
  <si>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</si>
  <si>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</si>
  <si>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</si>
  <si>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</si>
  <si>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</si>
  <si>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</si>
  <si>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</si>
  <si>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</si>
  <si>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</si>
  <si>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</si>
  <si>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</si>
  <si>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</si>
  <si>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</si>
  <si>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</si>
  <si>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>risk-86</t>
  </si>
  <si>
    <t>T019</t>
  </si>
  <si>
    <t>score:67</t>
  </si>
  <si>
    <t>T020</t>
  </si>
  <si>
    <t>T021</t>
  </si>
  <si>
    <t>beta stores</t>
  </si>
  <si>
    <t>score:63</t>
  </si>
  <si>
    <t>T022</t>
  </si>
  <si>
    <t>T023</t>
  </si>
  <si>
    <t>City Pharma</t>
  </si>
  <si>
    <t>EUR</t>
  </si>
  <si>
    <t>EU</t>
  </si>
  <si>
    <t>T024</t>
  </si>
  <si>
    <t>Eco Home</t>
  </si>
  <si>
    <t>score:65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</si>
  <si>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</si>
  <si>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</si>
  <si>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</si>
  <si>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</si>
  <si>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</si>
  <si>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</si>
  <si>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</si>
  <si>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</si>
  <si>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</si>
  <si>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</si>
  <si>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</si>
  <si>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</si>
  <si>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>delta travels</t>
  </si>
  <si>
    <t>score:58</t>
  </si>
  <si>
    <t>T030</t>
  </si>
  <si>
    <t>score:47</t>
  </si>
  <si>
    <t>Top Region by GMV</t>
  </si>
  <si>
    <t>Top Merchant by Captured GMV</t>
  </si>
  <si>
    <t>SUM of raw_amount_USD</t>
  </si>
  <si>
    <t>SUM of raw_amount</t>
  </si>
  <si>
    <t>Grand Total</t>
  </si>
  <si>
    <t>merchant_id</t>
  </si>
  <si>
    <t>account_manager</t>
  </si>
  <si>
    <t>merchant_category</t>
  </si>
  <si>
    <t>default_region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</si>
  <si>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</si>
  <si>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</si>
  <si>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</si>
  <si>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</si>
  <si>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</si>
  <si>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</si>
  <si>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</si>
  <si>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</si>
  <si>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</si>
  <si>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</si>
  <si>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</si>
  <si>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</si>
  <si>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</si>
  <si>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</si>
  <si>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</si>
  <si>
    <t>amount_usd</t>
  </si>
  <si>
    <t>R001</t>
  </si>
  <si>
    <t>success</t>
  </si>
  <si>
    <t>R002</t>
  </si>
  <si>
    <t>R003</t>
  </si>
  <si>
    <t>R005</t>
  </si>
  <si>
    <t>failed</t>
  </si>
  <si>
    <t>R006</t>
  </si>
  <si>
    <t>R007</t>
  </si>
  <si>
    <t>R008</t>
  </si>
  <si>
    <t>R009</t>
  </si>
  <si>
    <t>R011</t>
  </si>
  <si>
    <t>rate_date</t>
  </si>
  <si>
    <t>usd_rate</t>
  </si>
  <si>
    <t>R004</t>
  </si>
  <si>
    <t>R010</t>
  </si>
  <si>
    <t>user_name</t>
  </si>
  <si>
    <t>signup_date</t>
  </si>
  <si>
    <t>user_region</t>
  </si>
  <si>
    <t>risk_tier</t>
  </si>
  <si>
    <t>Aarav Shah</t>
  </si>
  <si>
    <t>India</t>
  </si>
  <si>
    <t>medium</t>
  </si>
  <si>
    <t>Meera Iyer</t>
  </si>
  <si>
    <t>low</t>
  </si>
  <si>
    <t>Kabir Jain</t>
  </si>
  <si>
    <t>Sofia Rossi</t>
  </si>
  <si>
    <t>Italy</t>
  </si>
  <si>
    <t>Vikram Nair</t>
  </si>
  <si>
    <t>Riya Gupta</t>
  </si>
  <si>
    <t>high</t>
  </si>
  <si>
    <t>Noah Kim</t>
  </si>
  <si>
    <t>Singapore</t>
  </si>
  <si>
    <t>Ishaan Verma</t>
  </si>
  <si>
    <t>Emma Brooks</t>
  </si>
  <si>
    <t>USA</t>
  </si>
  <si>
    <t>Liam Carter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</si>
</sst>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31" sheet="transactions_raw"/>
  </cacheSource>
  <cacheFields>
    <cacheField name="transaction_id" numFmtId="0">
      <sharedItems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  <s v="T021"/>
        <s v="T022"/>
        <s v="T023"/>
        <s v="T024"/>
        <s v="T025"/>
        <s v="T026"/>
        <s v="T027"/>
        <s v="T028"/>
        <s v="T029"/>
        <s v="T030"/>
      </sharedItems>
    </cacheField>
    <cacheField name="transaction_date" numFmtId="164">
      <sharedItems containsSemiMixedTypes="0" containsDate="1" containsString="0">
        <d v="2026-03-01T00:00:00Z"/>
        <d v="2026-03-02T00:00:00Z"/>
        <d v="2026-03-03T00:00:00Z"/>
        <d v="2026-03-04T00:00:00Z"/>
        <d v="2026-03-05T00:00:00Z"/>
        <d v="2026-03-06T00:00:00Z"/>
      </sharedItems>
    </cacheField>
    <cacheField name="transaction_date_cleaned" numFmtId="0">
      <sharedItems>
        <s v="2026_03-01"/>
        <s v="2026_03-02"/>
        <s v="2026_03-03"/>
        <s v="2026_03-04"/>
        <s v="2026_03-05"/>
        <s v="2026_03-06"/>
      </sharedItems>
    </cacheField>
    <cacheField name="merchant_name" numFmtId="0">
      <sharedItems>
        <s v="alpha mart"/>
        <s v="BETA STORES"/>
        <s v="Beta  Stores"/>
        <s v="Alpha  Mart"/>
        <s v="City Pharma"/>
        <s v="Eco Home"/>
        <s v="DELTA TRAVELS"/>
      </sharedItems>
    </cacheField>
    <cacheField name="merchant_name_cleaned" numFmtId="0">
      <sharedItems>
        <s v="Alpha Mart"/>
        <s v="Beta Stores"/>
        <s v="City Pharma"/>
        <s v="Eco Home"/>
        <s v="Delta Travels"/>
      </sharedItems>
    </cacheField>
    <cacheField name="raw_amount" numFmtId="0">
      <sharedItems containsSemiMixedTypes="0" containsString="0" containsNumber="1" containsInteger="1">
        <n v="420000.0"/>
        <n v="210000.0"/>
        <n v="510000.0"/>
        <n v="160000.0"/>
        <n v="390000.0"/>
        <n v="275000.0"/>
        <n v="450000.0"/>
        <n v="340000.0"/>
        <n v="125000.0"/>
        <n v="610000.0"/>
        <n v="195000.0"/>
        <n v="250000.0"/>
        <n v="310000.0"/>
        <n v="470000.0"/>
        <n v="130000.0"/>
        <n v="220000.0"/>
        <n v="180000.0"/>
        <n v="145000.0"/>
        <n v="260000.0"/>
        <n v="520000.0"/>
        <n v="330000.0"/>
        <n v="410000.0"/>
        <n v="5200.0"/>
        <n v="6100.0"/>
        <n v="2800.0"/>
        <n v="3300.0"/>
        <n v="7200.0"/>
        <n v="3100.0"/>
        <n v="2500.0"/>
        <n v="1800.0"/>
      </sharedItems>
    </cacheField>
    <cacheField name="currency_value_in_USD" numFmtId="0">
      <sharedItems containsSemiMixedTypes="0" containsString="0" containsNumber="1">
        <n v="0.0119"/>
        <n v="0.012"/>
        <n v="0.0121"/>
        <n v="0.0118"/>
        <n v="1.08"/>
        <n v="1.09"/>
        <n v="1.0"/>
      </sharedItems>
    </cacheField>
    <cacheField name="raw_amount_USD" numFmtId="0">
      <sharedItems containsSemiMixedTypes="0" containsString="0" containsNumber="1">
        <n v="4998.0"/>
        <n v="2499.0"/>
        <n v="6069.0"/>
        <n v="1920.0"/>
        <n v="4680.0"/>
        <n v="3300.0"/>
        <n v="5400.0"/>
        <n v="4114.0"/>
        <n v="1512.5"/>
        <n v="7381.0"/>
        <n v="2359.5"/>
        <n v="3000.0"/>
        <n v="3720.0"/>
        <n v="5640.0"/>
        <n v="1560.0"/>
        <n v="2596.0"/>
        <n v="2124.0"/>
        <n v="1711.0"/>
        <n v="3068.0"/>
        <n v="6136.0"/>
        <n v="3927.0000000000005"/>
        <n v="4879.0"/>
        <n v="5616.0"/>
        <n v="6649.000000000001"/>
        <n v="3024.0"/>
        <n v="3597.0000000000005"/>
        <n v="7200.0"/>
        <n v="3100.0"/>
        <n v="2500.0"/>
        <n v="1800.0"/>
      </sharedItems>
    </cacheField>
    <cacheField name="currency" numFmtId="0">
      <sharedItems>
        <s v="INR"/>
        <s v="EUR"/>
        <s v="USD"/>
      </sharedItems>
    </cacheField>
    <cacheField name="status" numFmtId="0">
      <sharedItems>
        <s v="captured"/>
        <s v="failed e05 timeout"/>
        <s v="chargeback"/>
      </sharedItems>
    </cacheField>
    <cacheField name="status_cleaned" numFmtId="0">
      <sharedItems>
        <s v="Captured"/>
        <s v="Failed E05 Timeout"/>
        <s v="Chargeback"/>
      </sharedItems>
    </cacheField>
    <cacheField name="risk_score">
      <sharedItems containsBlank="1" containsMixedTypes="1" containsNumber="1" containsInteger="1">
        <s v="score:62"/>
        <n v="55.0"/>
        <n v="71.0"/>
        <n v="68.0"/>
        <n v="58.0"/>
        <s v="score:64"/>
        <s v="risk-83"/>
        <n v="59.0"/>
        <n v="46.0"/>
        <s v="risk-77"/>
        <m/>
        <s v="risk-61"/>
        <s v="score:54"/>
        <s v="risk-73"/>
        <s v="score:52"/>
        <s v="risk-69"/>
        <s v="score:72"/>
        <s v="risk-86"/>
        <s v="score:67"/>
        <n v="75.0"/>
        <s v="score:63"/>
        <n v="60.0"/>
        <n v="42.0"/>
        <s v="score:65"/>
        <n v="38.0"/>
        <n v="44.0"/>
        <n v="49.0"/>
        <s v="risk-41"/>
        <s v="score:58"/>
        <s v="score:47"/>
      </sharedItems>
    </cacheField>
    <cacheField name="risk_score_cleaned">
      <sharedItems containsMixedTypes="1" containsNumber="1" containsInteger="1">
        <n v="62.0"/>
        <n v="55.0"/>
        <n v="71.0"/>
        <n v="68.0"/>
        <n v="58.0"/>
        <n v="64.0"/>
        <n v="83.0"/>
        <n v="59.0"/>
        <n v="46.0"/>
        <n v="77.0"/>
        <s v="INVALID_OR_MISSING"/>
        <n v="61.0"/>
        <n v="54.0"/>
        <n v="73.0"/>
        <n v="52.0"/>
        <n v="69.0"/>
        <n v="72.0"/>
        <n v="86.0"/>
        <n v="67.0"/>
        <n v="75.0"/>
        <n v="63.0"/>
        <n v="60.0"/>
        <n v="42.0"/>
        <n v="65.0"/>
        <n v="38.0"/>
        <n v="44.0"/>
        <n v="49.0"/>
        <n v="41.0"/>
        <n v="47.0"/>
      </sharedItems>
    </cacheField>
    <cacheField name="gateway_region" numFmtId="0">
      <sharedItems containsBlank="1">
        <s v="APAC"/>
        <m/>
        <s v="EU"/>
        <s v="us"/>
      </sharedItems>
    </cacheField>
    <cacheField name="gateway_region_cleaned" numFmtId="0">
      <sharedItems>
        <s v="APAC"/>
        <s v="EU"/>
        <s v="US"/>
      </sharedItems>
    </cacheField>
    <cacheField name="user_id" numFmtId="0">
      <sharedItems>
        <s v="U001"/>
        <s v="U002"/>
        <s v="U003"/>
        <s v="U004"/>
        <s v="U005"/>
        <s v="U006"/>
        <s v="U007"/>
        <s v="U008"/>
        <s v="U009"/>
        <s v="U010"/>
      </sharedItems>
    </cacheField>
    <cacheField name="payment_method" numFmtId="0">
      <sharedItems>
        <s v="UPI"/>
        <s v="Card"/>
        <s v="NetBanking"/>
        <s v="Wallet"/>
      </sharedItems>
    </cacheField>
    <cacheField name="high_value_flag" numFmtId="0">
      <sharedItems containsSemiMixedTypes="0" containsString="0" containsNumber="1" containsInteger="1">
        <n v="0.0"/>
        <n v="1.0"/>
      </sharedItems>
    </cacheField>
    <cacheField name="high_risk_flag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s" cacheId="0" dataCaption="" compact="0" compactData="0">
  <location ref="A2:C6" firstHeaderRow="0" firstDataRow="2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ansaction_date_cleane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erchant_name_cleane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aw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urrency_value_in_US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aw_amount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urrency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tatus_cleaned" compact="0" outline="0" multipleItemSelectionAllowed="1" showAll="0">
      <items>
        <item x="0"/>
        <item x="1"/>
        <item x="2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isk_score_clean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gateway_region" compact="0" outline="0" multipleItemSelectionAllowed="1" showAll="0">
      <items>
        <item x="0"/>
        <item x="1"/>
        <item x="2"/>
        <item x="3"/>
        <item t="default"/>
      </items>
    </pivotField>
    <pivotField name="gateway_region_cleaned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high_value_flag" compact="0" outline="0" multipleItemSelectionAllowed="1" showAll="0">
      <items>
        <item x="0"/>
        <item x="1"/>
        <item t="default"/>
      </items>
    </pivotField>
    <pivotField name="high_risk_flag" compact="0" outline="0" multipleItemSelectionAllowed="1" showAll="0">
      <items>
        <item x="0"/>
        <item x="1"/>
        <item t="default"/>
      </items>
    </pivotField>
  </pivotFields>
  <rowFields>
    <field x="14"/>
  </rowFields>
  <colFields>
    <field x="-2"/>
  </colFields>
  <dataFields>
    <dataField name="SUM of raw_amount_USD" fld="7" baseField="0"/>
    <dataField name="SUM of raw_amount" fld="5" baseField="0"/>
  </dataFields>
</pivotTableDefinition>
</file>

<file path=xl/pivotTables/pivotTable2.xml><?xml version="1.0" encoding="utf-8"?>
<pivotTableDefinition xmlns="http://schemas.openxmlformats.org/spreadsheetml/2006/main" name="PivotTables 2" cacheId="0" dataCaption="" compact="0" compactData="0">
  <location ref="E4:G9" firstHeaderRow="0" firstDataRow="2" firstDataCol="0" rowPageCount="1" colPageCount="1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ansaction_date_cleane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erchant_name_cleaned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aw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urrency_value_in_US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aw_amount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urrency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tatus_cleaned" axis="axisPage" compact="0" outline="0" multipleItemSelectionAllowed="1" showAll="0">
      <items>
        <item x="0"/>
        <item h="1" x="1"/>
        <item h="1" x="2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isk_score_clean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gateway_region" compact="0" outline="0" multipleItemSelectionAllowed="1" showAll="0">
      <items>
        <item x="0"/>
        <item x="1"/>
        <item x="2"/>
        <item x="3"/>
        <item t="default"/>
      </items>
    </pivotField>
    <pivotField name="gateway_region_cleaned" compact="0" outline="0" multipleItemSelectionAllowed="1" showAll="0">
      <items>
        <item x="0"/>
        <item x="1"/>
        <item x="2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high_value_flag" compact="0" outline="0" multipleItemSelectionAllowed="1" showAll="0">
      <items>
        <item x="0"/>
        <item x="1"/>
        <item t="default"/>
      </items>
    </pivotField>
    <pivotField name="high_risk_flag" compact="0" outline="0" multipleItemSelectionAllowed="1" showAll="0">
      <items>
        <item x="0"/>
        <item x="1"/>
        <item t="default"/>
      </items>
    </pivotField>
  </pivotFields>
  <rowFields>
    <field x="4"/>
  </rowFields>
  <colFields>
    <field x="-2"/>
  </colFields>
  <pageFields>
    <pageField fld="10"/>
  </pageFields>
  <dataFields>
    <dataField name="SUM of raw_amount_USD" fld="7" baseField="0"/>
    <dataField name="SUM of raw_amount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2.88"/>
    <col customWidth="1" min="3" max="3" width="20.88"/>
    <col customWidth="1" min="4" max="4" width="16.25"/>
    <col customWidth="1" min="5" max="5" width="21.75"/>
    <col customWidth="1" min="6" max="6" width="12.63"/>
    <col customWidth="1" min="7" max="7" width="22.63"/>
    <col customWidth="1" min="8" max="8" width="17.75"/>
    <col customWidth="1" min="9" max="9" width="10.5"/>
    <col customWidth="1" min="10" max="10" width="18.0"/>
    <col customWidth="1" min="11" max="11" width="15.5"/>
    <col customWidth="1" min="13" max="13" width="19.0"/>
    <col customWidth="1" min="15" max="15" width="22.25"/>
    <col customWidth="1" min="17" max="17" width="17.25"/>
    <col customWidth="1" min="18" max="18" width="16.13"/>
    <col customWidth="1" min="19" max="19" width="14.75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3" t="s">
        <v>17</v>
      </c>
      <c r="S1" s="3" t="s">
        <v>18</v>
      </c>
    </row>
    <row r="2" ht="15.75" customHeight="1">
      <c r="A2" s="1" t="s">
        <v>19</v>
      </c>
      <c r="B2" s="4">
        <v>46082.0</v>
      </c>
      <c r="C2" s="1" t="str">
        <f t="shared" ref="C2:C31" si="1">TEXT(if(or(B2="", B2="UNKNOWN", B2="ERROR"), "1900-01-01", B2), "YYYY_MM-DD")</f>
        <v>2026_03-01</v>
      </c>
      <c r="D2" s="1" t="s">
        <v>20</v>
      </c>
      <c r="E2" s="1" t="str">
        <f t="shared" ref="E2:E31" si="2">trim(if(OR(D2="", D2="ERROR", D2="UNKNOWN"), "INVALID_OR_MISSING", proper(D2)))</f>
        <v>Alpha Mart</v>
      </c>
      <c r="F2" s="1">
        <v>420000.0</v>
      </c>
      <c r="G2" s="1">
        <f>IFERROR(__xludf.DUMMYFUNCTION("filter(exchange_rates!$C$2:C$19,B2=exchange_rates!$A$2:$A$19, I2=exchange_rates!$B$2:$B$19)"),0.0119)</f>
        <v>0.0119</v>
      </c>
      <c r="H2" s="1">
        <f t="shared" ref="H2:H31" si="3">G2*F2</f>
        <v>4998</v>
      </c>
      <c r="I2" s="1" t="s">
        <v>21</v>
      </c>
      <c r="J2" s="1" t="s">
        <v>22</v>
      </c>
      <c r="K2" s="1" t="str">
        <f t="shared" ref="K2:K31" si="4">if(OR(J2="",J2 ="ERROR",J2 ="UNKNOWN"), "INVALID_OR_MISSING", proper(J2))</f>
        <v>Captured</v>
      </c>
      <c r="L2" s="1" t="s">
        <v>23</v>
      </c>
      <c r="M2" s="1">
        <f t="shared" ref="M2:M31" si="5">if(OR(L2="",L2 ="ERROR",L2 ="UNKNOWN"), "INVALID_OR_MISSING", value(RIGHT(L2, 2)))</f>
        <v>62</v>
      </c>
      <c r="N2" s="1" t="s">
        <v>24</v>
      </c>
      <c r="O2" s="1" t="str">
        <f>IFERROR(__xludf.DUMMYFUNCTION("Filter(merchant_master!$E$2:$E$6,E2=merchant_master!$B$2:$B$6)"),"APAC")</f>
        <v>APAC</v>
      </c>
      <c r="P2" s="1" t="s">
        <v>25</v>
      </c>
      <c r="Q2" s="1" t="s">
        <v>26</v>
      </c>
      <c r="R2" s="5">
        <f t="shared" ref="R2:R31" si="6">if(OR(AND(O2="APAC", H2&gt;5000), AND(O2="EU", H2&gt;6000), AND(O2="US", H2&gt;7000)), 1, 0)</f>
        <v>0</v>
      </c>
      <c r="S2" s="5">
        <f t="shared" ref="S2:S31" si="7">if(OR(ISNUMBER(SEARCH("chargeback",K2)), AND(ISNUMBER(M2), M2 &gt;= 70)), 1, 0)</f>
        <v>0</v>
      </c>
    </row>
    <row r="3" ht="15.75" customHeight="1">
      <c r="A3" s="1" t="s">
        <v>27</v>
      </c>
      <c r="B3" s="4">
        <v>46082.0</v>
      </c>
      <c r="C3" s="1" t="str">
        <f t="shared" si="1"/>
        <v>2026_03-01</v>
      </c>
      <c r="D3" s="1" t="s">
        <v>28</v>
      </c>
      <c r="E3" s="1" t="str">
        <f t="shared" si="2"/>
        <v>Alpha Mart</v>
      </c>
      <c r="F3" s="1">
        <v>210000.0</v>
      </c>
      <c r="G3" s="1">
        <f>IFERROR(__xludf.DUMMYFUNCTION("filter(exchange_rates!$C$2:C$19,B3=exchange_rates!$A$2:$A$19, I3=exchange_rates!$B$2:$B$19)"),0.0119)</f>
        <v>0.0119</v>
      </c>
      <c r="H3" s="1">
        <f t="shared" si="3"/>
        <v>2499</v>
      </c>
      <c r="I3" s="1" t="s">
        <v>21</v>
      </c>
      <c r="J3" s="1" t="s">
        <v>29</v>
      </c>
      <c r="K3" s="1" t="str">
        <f t="shared" si="4"/>
        <v>Captured</v>
      </c>
      <c r="L3" s="1">
        <v>55.0</v>
      </c>
      <c r="M3" s="1">
        <f t="shared" si="5"/>
        <v>55</v>
      </c>
      <c r="O3" s="1" t="str">
        <f>IFERROR(__xludf.DUMMYFUNCTION("Filter(merchant_master!$E$2:$E$6,E3=merchant_master!$B$2:$B$6)"),"APAC")</f>
        <v>APAC</v>
      </c>
      <c r="P3" s="1" t="s">
        <v>30</v>
      </c>
      <c r="Q3" s="1" t="s">
        <v>31</v>
      </c>
      <c r="R3" s="5">
        <f t="shared" si="6"/>
        <v>0</v>
      </c>
      <c r="S3" s="5">
        <f t="shared" si="7"/>
        <v>0</v>
      </c>
    </row>
    <row r="4" ht="15.75" customHeight="1">
      <c r="A4" s="1" t="s">
        <v>32</v>
      </c>
      <c r="B4" s="4">
        <v>46082.0</v>
      </c>
      <c r="C4" s="1" t="str">
        <f t="shared" si="1"/>
        <v>2026_03-01</v>
      </c>
      <c r="D4" s="1" t="s">
        <v>33</v>
      </c>
      <c r="E4" s="1" t="str">
        <f t="shared" si="2"/>
        <v>Beta Stores</v>
      </c>
      <c r="F4" s="1">
        <v>510000.0</v>
      </c>
      <c r="G4" s="1">
        <f>IFERROR(__xludf.DUMMYFUNCTION("filter(exchange_rates!$C$2:C$19,B4=exchange_rates!$A$2:$A$19, I4=exchange_rates!$B$2:$B$19)"),0.0119)</f>
        <v>0.0119</v>
      </c>
      <c r="H4" s="1">
        <f t="shared" si="3"/>
        <v>6069</v>
      </c>
      <c r="I4" s="1" t="s">
        <v>21</v>
      </c>
      <c r="J4" s="1" t="s">
        <v>34</v>
      </c>
      <c r="K4" s="1" t="str">
        <f t="shared" si="4"/>
        <v>Captured</v>
      </c>
      <c r="L4" s="1">
        <v>71.0</v>
      </c>
      <c r="M4" s="1">
        <f t="shared" si="5"/>
        <v>71</v>
      </c>
      <c r="N4" s="1" t="s">
        <v>24</v>
      </c>
      <c r="O4" s="1" t="str">
        <f>IFERROR(__xludf.DUMMYFUNCTION("Filter(merchant_master!$E$2:$E$6,E4=merchant_master!$B$2:$B$6)"),"APAC")</f>
        <v>APAC</v>
      </c>
      <c r="P4" s="1" t="s">
        <v>35</v>
      </c>
      <c r="Q4" s="1" t="s">
        <v>36</v>
      </c>
      <c r="R4" s="5">
        <f t="shared" si="6"/>
        <v>1</v>
      </c>
      <c r="S4" s="5">
        <f t="shared" si="7"/>
        <v>1</v>
      </c>
    </row>
    <row r="5" ht="15.75" customHeight="1">
      <c r="A5" s="1" t="s">
        <v>37</v>
      </c>
      <c r="B5" s="4">
        <v>46083.0</v>
      </c>
      <c r="C5" s="1" t="str">
        <f t="shared" si="1"/>
        <v>2026_03-02</v>
      </c>
      <c r="D5" s="1" t="s">
        <v>38</v>
      </c>
      <c r="E5" s="1" t="str">
        <f t="shared" si="2"/>
        <v>Beta Stores</v>
      </c>
      <c r="F5" s="1">
        <v>160000.0</v>
      </c>
      <c r="G5" s="1">
        <f>IFERROR(__xludf.DUMMYFUNCTION("filter(exchange_rates!$C$2:C$19,B5=exchange_rates!$A$2:$A$19, I5=exchange_rates!$B$2:$B$19)"),0.012)</f>
        <v>0.012</v>
      </c>
      <c r="H5" s="1">
        <f t="shared" si="3"/>
        <v>1920</v>
      </c>
      <c r="I5" s="1" t="s">
        <v>21</v>
      </c>
      <c r="J5" s="1" t="s">
        <v>39</v>
      </c>
      <c r="K5" s="1" t="str">
        <f t="shared" si="4"/>
        <v>Failed E05 Timeout</v>
      </c>
      <c r="L5" s="1">
        <v>68.0</v>
      </c>
      <c r="M5" s="1">
        <f t="shared" si="5"/>
        <v>68</v>
      </c>
      <c r="N5" s="1" t="s">
        <v>40</v>
      </c>
      <c r="O5" s="1" t="str">
        <f>IFERROR(__xludf.DUMMYFUNCTION("Filter(merchant_master!$E$2:$E$6,E5=merchant_master!$B$2:$B$6)"),"APAC")</f>
        <v>APAC</v>
      </c>
      <c r="P5" s="1" t="s">
        <v>41</v>
      </c>
      <c r="Q5" s="1" t="s">
        <v>31</v>
      </c>
      <c r="R5" s="5">
        <f t="shared" si="6"/>
        <v>0</v>
      </c>
      <c r="S5" s="5">
        <f t="shared" si="7"/>
        <v>0</v>
      </c>
    </row>
    <row r="6" ht="15.75" customHeight="1">
      <c r="A6" s="1" t="s">
        <v>42</v>
      </c>
      <c r="B6" s="4">
        <v>46083.0</v>
      </c>
      <c r="C6" s="1" t="str">
        <f t="shared" si="1"/>
        <v>2026_03-02</v>
      </c>
      <c r="D6" s="1" t="s">
        <v>43</v>
      </c>
      <c r="E6" s="1" t="str">
        <f t="shared" si="2"/>
        <v>Alpha Mart</v>
      </c>
      <c r="F6" s="1">
        <v>390000.0</v>
      </c>
      <c r="G6" s="1">
        <f>IFERROR(__xludf.DUMMYFUNCTION("filter(exchange_rates!$C$2:C$19,B6=exchange_rates!$A$2:$A$19, I6=exchange_rates!$B$2:$B$19)"),0.012)</f>
        <v>0.012</v>
      </c>
      <c r="H6" s="1">
        <f t="shared" si="3"/>
        <v>4680</v>
      </c>
      <c r="I6" s="1" t="s">
        <v>21</v>
      </c>
      <c r="J6" s="1" t="s">
        <v>34</v>
      </c>
      <c r="K6" s="1" t="str">
        <f t="shared" si="4"/>
        <v>Captured</v>
      </c>
      <c r="L6" s="1">
        <v>58.0</v>
      </c>
      <c r="M6" s="1">
        <f t="shared" si="5"/>
        <v>58</v>
      </c>
      <c r="O6" s="1" t="str">
        <f>IFERROR(__xludf.DUMMYFUNCTION("Filter(merchant_master!$E$2:$E$6,E6=merchant_master!$B$2:$B$6)"),"APAC")</f>
        <v>APAC</v>
      </c>
      <c r="P6" s="1" t="s">
        <v>25</v>
      </c>
      <c r="Q6" s="1" t="s">
        <v>26</v>
      </c>
      <c r="R6" s="5">
        <f t="shared" si="6"/>
        <v>0</v>
      </c>
      <c r="S6" s="5">
        <f t="shared" si="7"/>
        <v>0</v>
      </c>
    </row>
    <row r="7" ht="15.75" customHeight="1">
      <c r="A7" s="1" t="s">
        <v>44</v>
      </c>
      <c r="B7" s="4">
        <v>46083.0</v>
      </c>
      <c r="C7" s="1" t="str">
        <f t="shared" si="1"/>
        <v>2026_03-02</v>
      </c>
      <c r="D7" s="1" t="s">
        <v>38</v>
      </c>
      <c r="E7" s="1" t="str">
        <f t="shared" si="2"/>
        <v>Beta Stores</v>
      </c>
      <c r="F7" s="1">
        <v>275000.0</v>
      </c>
      <c r="G7" s="1">
        <f>IFERROR(__xludf.DUMMYFUNCTION("filter(exchange_rates!$C$2:C$19,B7=exchange_rates!$A$2:$A$19, I7=exchange_rates!$B$2:$B$19)"),0.012)</f>
        <v>0.012</v>
      </c>
      <c r="H7" s="1">
        <f t="shared" si="3"/>
        <v>3300</v>
      </c>
      <c r="I7" s="1" t="s">
        <v>21</v>
      </c>
      <c r="J7" s="1" t="s">
        <v>29</v>
      </c>
      <c r="K7" s="1" t="str">
        <f t="shared" si="4"/>
        <v>Captured</v>
      </c>
      <c r="L7" s="1" t="s">
        <v>45</v>
      </c>
      <c r="M7" s="1">
        <f t="shared" si="5"/>
        <v>64</v>
      </c>
      <c r="O7" s="1" t="str">
        <f>IFERROR(__xludf.DUMMYFUNCTION("Filter(merchant_master!$E$2:$E$6,E7=merchant_master!$B$2:$B$6)"),"APAC")</f>
        <v>APAC</v>
      </c>
      <c r="P7" s="1" t="s">
        <v>46</v>
      </c>
      <c r="Q7" s="1" t="s">
        <v>47</v>
      </c>
      <c r="R7" s="5">
        <f t="shared" si="6"/>
        <v>0</v>
      </c>
      <c r="S7" s="5">
        <f t="shared" si="7"/>
        <v>0</v>
      </c>
    </row>
    <row r="8" ht="15.75" customHeight="1">
      <c r="A8" s="1" t="s">
        <v>48</v>
      </c>
      <c r="B8" s="4">
        <v>46083.0</v>
      </c>
      <c r="C8" s="1" t="str">
        <f t="shared" si="1"/>
        <v>2026_03-02</v>
      </c>
      <c r="D8" s="1" t="s">
        <v>49</v>
      </c>
      <c r="E8" s="1" t="str">
        <f t="shared" si="2"/>
        <v>Alpha Mart</v>
      </c>
      <c r="F8" s="1">
        <v>450000.0</v>
      </c>
      <c r="G8" s="1">
        <f>IFERROR(__xludf.DUMMYFUNCTION("filter(exchange_rates!$C$2:C$19,B8=exchange_rates!$A$2:$A$19, I8=exchange_rates!$B$2:$B$19)"),0.012)</f>
        <v>0.012</v>
      </c>
      <c r="H8" s="1">
        <f t="shared" si="3"/>
        <v>5400</v>
      </c>
      <c r="I8" s="1" t="s">
        <v>21</v>
      </c>
      <c r="J8" s="1" t="s">
        <v>50</v>
      </c>
      <c r="K8" s="1" t="str">
        <f t="shared" si="4"/>
        <v>Chargeback</v>
      </c>
      <c r="L8" s="1" t="s">
        <v>51</v>
      </c>
      <c r="M8" s="1">
        <f t="shared" si="5"/>
        <v>83</v>
      </c>
      <c r="N8" s="1" t="s">
        <v>24</v>
      </c>
      <c r="O8" s="1" t="str">
        <f>IFERROR(__xludf.DUMMYFUNCTION("Filter(merchant_master!$E$2:$E$6,E8=merchant_master!$B$2:$B$6)"),"APAC")</f>
        <v>APAC</v>
      </c>
      <c r="P8" s="1" t="s">
        <v>52</v>
      </c>
      <c r="Q8" s="1" t="s">
        <v>31</v>
      </c>
      <c r="R8" s="5">
        <f t="shared" si="6"/>
        <v>1</v>
      </c>
      <c r="S8" s="5">
        <f t="shared" si="7"/>
        <v>1</v>
      </c>
    </row>
    <row r="9" ht="15.75" customHeight="1">
      <c r="A9" s="1" t="s">
        <v>53</v>
      </c>
      <c r="B9" s="4">
        <v>46084.0</v>
      </c>
      <c r="C9" s="1" t="str">
        <f t="shared" si="1"/>
        <v>2026_03-03</v>
      </c>
      <c r="D9" s="1" t="s">
        <v>33</v>
      </c>
      <c r="E9" s="1" t="str">
        <f t="shared" si="2"/>
        <v>Beta Stores</v>
      </c>
      <c r="F9" s="1">
        <v>340000.0</v>
      </c>
      <c r="G9" s="1">
        <f>IFERROR(__xludf.DUMMYFUNCTION("filter(exchange_rates!$C$2:C$19,B9=exchange_rates!$A$2:$A$19, I9=exchange_rates!$B$2:$B$19)"),0.0121)</f>
        <v>0.0121</v>
      </c>
      <c r="H9" s="1">
        <f t="shared" si="3"/>
        <v>4114</v>
      </c>
      <c r="I9" s="1" t="s">
        <v>21</v>
      </c>
      <c r="J9" s="1" t="s">
        <v>29</v>
      </c>
      <c r="K9" s="1" t="str">
        <f t="shared" si="4"/>
        <v>Captured</v>
      </c>
      <c r="L9" s="1">
        <v>59.0</v>
      </c>
      <c r="M9" s="1">
        <f t="shared" si="5"/>
        <v>59</v>
      </c>
      <c r="O9" s="1" t="str">
        <f>IFERROR(__xludf.DUMMYFUNCTION("Filter(merchant_master!$E$2:$E$6,E9=merchant_master!$B$2:$B$6)"),"APAC")</f>
        <v>APAC</v>
      </c>
      <c r="P9" s="1" t="s">
        <v>54</v>
      </c>
      <c r="Q9" s="1" t="s">
        <v>26</v>
      </c>
      <c r="R9" s="5">
        <f t="shared" si="6"/>
        <v>0</v>
      </c>
      <c r="S9" s="5">
        <f t="shared" si="7"/>
        <v>0</v>
      </c>
    </row>
    <row r="10" ht="15.75" customHeight="1">
      <c r="A10" s="1" t="s">
        <v>55</v>
      </c>
      <c r="B10" s="4">
        <v>46084.0</v>
      </c>
      <c r="C10" s="1" t="str">
        <f t="shared" si="1"/>
        <v>2026_03-03</v>
      </c>
      <c r="D10" s="1" t="s">
        <v>43</v>
      </c>
      <c r="E10" s="1" t="str">
        <f t="shared" si="2"/>
        <v>Alpha Mart</v>
      </c>
      <c r="F10" s="1">
        <v>125000.0</v>
      </c>
      <c r="G10" s="1">
        <f>IFERROR(__xludf.DUMMYFUNCTION("filter(exchange_rates!$C$2:C$19,B10=exchange_rates!$A$2:$A$19, I10=exchange_rates!$B$2:$B$19)"),0.0121)</f>
        <v>0.0121</v>
      </c>
      <c r="H10" s="1">
        <f t="shared" si="3"/>
        <v>1512.5</v>
      </c>
      <c r="I10" s="1" t="s">
        <v>21</v>
      </c>
      <c r="J10" s="1" t="s">
        <v>22</v>
      </c>
      <c r="K10" s="1" t="str">
        <f t="shared" si="4"/>
        <v>Captured</v>
      </c>
      <c r="L10" s="1">
        <v>46.0</v>
      </c>
      <c r="M10" s="1">
        <f t="shared" si="5"/>
        <v>46</v>
      </c>
      <c r="N10" s="1" t="s">
        <v>24</v>
      </c>
      <c r="O10" s="1" t="str">
        <f>IFERROR(__xludf.DUMMYFUNCTION("Filter(merchant_master!$E$2:$E$6,E10=merchant_master!$B$2:$B$6)"),"APAC")</f>
        <v>APAC</v>
      </c>
      <c r="P10" s="1" t="s">
        <v>30</v>
      </c>
      <c r="Q10" s="1" t="s">
        <v>47</v>
      </c>
      <c r="R10" s="5">
        <f t="shared" si="6"/>
        <v>0</v>
      </c>
      <c r="S10" s="5">
        <f t="shared" si="7"/>
        <v>0</v>
      </c>
    </row>
    <row r="11" ht="15.75" customHeight="1">
      <c r="A11" s="1" t="s">
        <v>56</v>
      </c>
      <c r="B11" s="4">
        <v>46084.0</v>
      </c>
      <c r="C11" s="1" t="str">
        <f t="shared" si="1"/>
        <v>2026_03-03</v>
      </c>
      <c r="D11" s="1" t="s">
        <v>57</v>
      </c>
      <c r="E11" s="1" t="str">
        <f t="shared" si="2"/>
        <v>Beta Stores</v>
      </c>
      <c r="F11" s="1">
        <v>610000.0</v>
      </c>
      <c r="G11" s="1">
        <f>IFERROR(__xludf.DUMMYFUNCTION("filter(exchange_rates!$C$2:C$19,B11=exchange_rates!$A$2:$A$19, I11=exchange_rates!$B$2:$B$19)"),0.0121)</f>
        <v>0.0121</v>
      </c>
      <c r="H11" s="1">
        <f t="shared" si="3"/>
        <v>7381</v>
      </c>
      <c r="I11" s="1" t="s">
        <v>21</v>
      </c>
      <c r="J11" s="1" t="s">
        <v>22</v>
      </c>
      <c r="K11" s="1" t="str">
        <f t="shared" si="4"/>
        <v>Captured</v>
      </c>
      <c r="L11" s="1" t="s">
        <v>58</v>
      </c>
      <c r="M11" s="1">
        <f t="shared" si="5"/>
        <v>77</v>
      </c>
      <c r="O11" s="1" t="str">
        <f>IFERROR(__xludf.DUMMYFUNCTION("Filter(merchant_master!$E$2:$E$6,E11=merchant_master!$B$2:$B$6)"),"APAC")</f>
        <v>APAC</v>
      </c>
      <c r="P11" s="1" t="s">
        <v>35</v>
      </c>
      <c r="Q11" s="1" t="s">
        <v>31</v>
      </c>
      <c r="R11" s="5">
        <f t="shared" si="6"/>
        <v>1</v>
      </c>
      <c r="S11" s="5">
        <f t="shared" si="7"/>
        <v>1</v>
      </c>
    </row>
    <row r="12" ht="15.75" customHeight="1">
      <c r="A12" s="1" t="s">
        <v>59</v>
      </c>
      <c r="B12" s="4">
        <v>46084.0</v>
      </c>
      <c r="C12" s="1" t="str">
        <f t="shared" si="1"/>
        <v>2026_03-03</v>
      </c>
      <c r="D12" s="1" t="s">
        <v>49</v>
      </c>
      <c r="E12" s="1" t="str">
        <f t="shared" si="2"/>
        <v>Alpha Mart</v>
      </c>
      <c r="F12" s="1">
        <v>195000.0</v>
      </c>
      <c r="G12" s="1">
        <f>IFERROR(__xludf.DUMMYFUNCTION("filter(exchange_rates!$C$2:C$19,B12=exchange_rates!$A$2:$A$19, I12=exchange_rates!$B$2:$B$19)"),0.0121)</f>
        <v>0.0121</v>
      </c>
      <c r="H12" s="1">
        <f t="shared" si="3"/>
        <v>2359.5</v>
      </c>
      <c r="I12" s="1" t="s">
        <v>21</v>
      </c>
      <c r="J12" s="1" t="s">
        <v>60</v>
      </c>
      <c r="K12" s="1" t="str">
        <f t="shared" si="4"/>
        <v>Failed E05 Timeout</v>
      </c>
      <c r="M12" s="1" t="str">
        <f t="shared" si="5"/>
        <v>INVALID_OR_MISSING</v>
      </c>
      <c r="O12" s="1" t="str">
        <f>IFERROR(__xludf.DUMMYFUNCTION("Filter(merchant_master!$E$2:$E$6,E12=merchant_master!$B$2:$B$6)"),"APAC")</f>
        <v>APAC</v>
      </c>
      <c r="P12" s="1" t="s">
        <v>61</v>
      </c>
      <c r="Q12" s="1" t="s">
        <v>26</v>
      </c>
      <c r="R12" s="5">
        <f t="shared" si="6"/>
        <v>0</v>
      </c>
      <c r="S12" s="5">
        <f t="shared" si="7"/>
        <v>0</v>
      </c>
    </row>
    <row r="13" ht="15.75" customHeight="1">
      <c r="A13" s="1" t="s">
        <v>62</v>
      </c>
      <c r="B13" s="4">
        <v>46085.0</v>
      </c>
      <c r="C13" s="1" t="str">
        <f t="shared" si="1"/>
        <v>2026_03-04</v>
      </c>
      <c r="D13" s="1" t="s">
        <v>38</v>
      </c>
      <c r="E13" s="1" t="str">
        <f t="shared" si="2"/>
        <v>Beta Stores</v>
      </c>
      <c r="F13" s="1">
        <v>250000.0</v>
      </c>
      <c r="G13" s="1">
        <f>IFERROR(__xludf.DUMMYFUNCTION("filter(exchange_rates!$C$2:C$19,B13=exchange_rates!$A$2:$A$19, I13=exchange_rates!$B$2:$B$19)"),0.012)</f>
        <v>0.012</v>
      </c>
      <c r="H13" s="1">
        <f t="shared" si="3"/>
        <v>3000</v>
      </c>
      <c r="I13" s="1" t="s">
        <v>21</v>
      </c>
      <c r="J13" s="1" t="s">
        <v>22</v>
      </c>
      <c r="K13" s="1" t="str">
        <f t="shared" si="4"/>
        <v>Captured</v>
      </c>
      <c r="L13" s="1" t="s">
        <v>63</v>
      </c>
      <c r="M13" s="1">
        <f t="shared" si="5"/>
        <v>61</v>
      </c>
      <c r="N13" s="1" t="s">
        <v>24</v>
      </c>
      <c r="O13" s="1" t="str">
        <f>IFERROR(__xludf.DUMMYFUNCTION("Filter(merchant_master!$E$2:$E$6,E13=merchant_master!$B$2:$B$6)"),"APAC")</f>
        <v>APAC</v>
      </c>
      <c r="P13" s="1" t="s">
        <v>64</v>
      </c>
      <c r="Q13" s="1" t="s">
        <v>31</v>
      </c>
      <c r="R13" s="5">
        <f t="shared" si="6"/>
        <v>0</v>
      </c>
      <c r="S13" s="5">
        <f t="shared" si="7"/>
        <v>0</v>
      </c>
    </row>
    <row r="14" ht="15.75" customHeight="1">
      <c r="A14" s="1" t="s">
        <v>65</v>
      </c>
      <c r="B14" s="4">
        <v>46085.0</v>
      </c>
      <c r="C14" s="1" t="str">
        <f t="shared" si="1"/>
        <v>2026_03-04</v>
      </c>
      <c r="D14" s="1" t="s">
        <v>20</v>
      </c>
      <c r="E14" s="1" t="str">
        <f t="shared" si="2"/>
        <v>Alpha Mart</v>
      </c>
      <c r="F14" s="1">
        <v>310000.0</v>
      </c>
      <c r="G14" s="1">
        <f>IFERROR(__xludf.DUMMYFUNCTION("filter(exchange_rates!$C$2:C$19,B14=exchange_rates!$A$2:$A$19, I14=exchange_rates!$B$2:$B$19)"),0.012)</f>
        <v>0.012</v>
      </c>
      <c r="H14" s="1">
        <f t="shared" si="3"/>
        <v>3720</v>
      </c>
      <c r="I14" s="1" t="s">
        <v>21</v>
      </c>
      <c r="J14" s="1" t="s">
        <v>22</v>
      </c>
      <c r="K14" s="1" t="str">
        <f t="shared" si="4"/>
        <v>Captured</v>
      </c>
      <c r="L14" s="1" t="s">
        <v>66</v>
      </c>
      <c r="M14" s="1">
        <f t="shared" si="5"/>
        <v>54</v>
      </c>
      <c r="N14" s="1" t="s">
        <v>24</v>
      </c>
      <c r="O14" s="1" t="str">
        <f>IFERROR(__xludf.DUMMYFUNCTION("Filter(merchant_master!$E$2:$E$6,E14=merchant_master!$B$2:$B$6)"),"APAC")</f>
        <v>APAC</v>
      </c>
      <c r="P14" s="1" t="s">
        <v>67</v>
      </c>
      <c r="Q14" s="1" t="s">
        <v>26</v>
      </c>
      <c r="R14" s="5">
        <f t="shared" si="6"/>
        <v>0</v>
      </c>
      <c r="S14" s="5">
        <f t="shared" si="7"/>
        <v>0</v>
      </c>
    </row>
    <row r="15" ht="15.75" customHeight="1">
      <c r="A15" s="1" t="s">
        <v>68</v>
      </c>
      <c r="B15" s="4">
        <v>46085.0</v>
      </c>
      <c r="C15" s="1" t="str">
        <f t="shared" si="1"/>
        <v>2026_03-04</v>
      </c>
      <c r="D15" s="1" t="s">
        <v>38</v>
      </c>
      <c r="E15" s="1" t="str">
        <f t="shared" si="2"/>
        <v>Beta Stores</v>
      </c>
      <c r="F15" s="1">
        <v>470000.0</v>
      </c>
      <c r="G15" s="1">
        <f>IFERROR(__xludf.DUMMYFUNCTION("filter(exchange_rates!$C$2:C$19,B15=exchange_rates!$A$2:$A$19, I15=exchange_rates!$B$2:$B$19)"),0.012)</f>
        <v>0.012</v>
      </c>
      <c r="H15" s="1">
        <f t="shared" si="3"/>
        <v>5640</v>
      </c>
      <c r="I15" s="1" t="s">
        <v>21</v>
      </c>
      <c r="J15" s="1" t="s">
        <v>22</v>
      </c>
      <c r="K15" s="1" t="str">
        <f t="shared" si="4"/>
        <v>Captured</v>
      </c>
      <c r="L15" s="1" t="s">
        <v>69</v>
      </c>
      <c r="M15" s="1">
        <f t="shared" si="5"/>
        <v>73</v>
      </c>
      <c r="N15" s="1" t="s">
        <v>24</v>
      </c>
      <c r="O15" s="1" t="str">
        <f>IFERROR(__xludf.DUMMYFUNCTION("Filter(merchant_master!$E$2:$E$6,E15=merchant_master!$B$2:$B$6)"),"APAC")</f>
        <v>APAC</v>
      </c>
      <c r="P15" s="1" t="s">
        <v>25</v>
      </c>
      <c r="Q15" s="1" t="s">
        <v>36</v>
      </c>
      <c r="R15" s="5">
        <f t="shared" si="6"/>
        <v>1</v>
      </c>
      <c r="S15" s="5">
        <f t="shared" si="7"/>
        <v>1</v>
      </c>
    </row>
    <row r="16" ht="15.75" customHeight="1">
      <c r="A16" s="1" t="s">
        <v>70</v>
      </c>
      <c r="B16" s="4">
        <v>46085.0</v>
      </c>
      <c r="C16" s="1" t="str">
        <f t="shared" si="1"/>
        <v>2026_03-04</v>
      </c>
      <c r="D16" s="1" t="s">
        <v>43</v>
      </c>
      <c r="E16" s="1" t="str">
        <f t="shared" si="2"/>
        <v>Alpha Mart</v>
      </c>
      <c r="F16" s="1">
        <v>130000.0</v>
      </c>
      <c r="G16" s="1">
        <f>IFERROR(__xludf.DUMMYFUNCTION("filter(exchange_rates!$C$2:C$19,B16=exchange_rates!$A$2:$A$19, I16=exchange_rates!$B$2:$B$19)"),0.012)</f>
        <v>0.012</v>
      </c>
      <c r="H16" s="1">
        <f t="shared" si="3"/>
        <v>1560</v>
      </c>
      <c r="I16" s="1" t="s">
        <v>21</v>
      </c>
      <c r="J16" s="1" t="s">
        <v>22</v>
      </c>
      <c r="K16" s="1" t="str">
        <f t="shared" si="4"/>
        <v>Captured</v>
      </c>
      <c r="L16" s="1" t="s">
        <v>71</v>
      </c>
      <c r="M16" s="1">
        <f t="shared" si="5"/>
        <v>52</v>
      </c>
      <c r="O16" s="1" t="str">
        <f>IFERROR(__xludf.DUMMYFUNCTION("Filter(merchant_master!$E$2:$E$6,E16=merchant_master!$B$2:$B$6)"),"APAC")</f>
        <v>APAC</v>
      </c>
      <c r="P16" s="1" t="s">
        <v>30</v>
      </c>
      <c r="Q16" s="1" t="s">
        <v>31</v>
      </c>
      <c r="R16" s="5">
        <f t="shared" si="6"/>
        <v>0</v>
      </c>
      <c r="S16" s="5">
        <f t="shared" si="7"/>
        <v>0</v>
      </c>
    </row>
    <row r="17" ht="15.75" customHeight="1">
      <c r="A17" s="1" t="s">
        <v>72</v>
      </c>
      <c r="B17" s="4">
        <v>46086.0</v>
      </c>
      <c r="C17" s="1" t="str">
        <f t="shared" si="1"/>
        <v>2026_03-05</v>
      </c>
      <c r="D17" s="1" t="s">
        <v>38</v>
      </c>
      <c r="E17" s="1" t="str">
        <f t="shared" si="2"/>
        <v>Beta Stores</v>
      </c>
      <c r="F17" s="1">
        <v>220000.0</v>
      </c>
      <c r="G17" s="1">
        <f>IFERROR(__xludf.DUMMYFUNCTION("filter(exchange_rates!$C$2:C$19,B17=exchange_rates!$A$2:$A$19, I17=exchange_rates!$B$2:$B$19)"),0.0118)</f>
        <v>0.0118</v>
      </c>
      <c r="H17" s="1">
        <f t="shared" si="3"/>
        <v>2596</v>
      </c>
      <c r="I17" s="1" t="s">
        <v>21</v>
      </c>
      <c r="J17" s="1" t="s">
        <v>73</v>
      </c>
      <c r="K17" s="1" t="str">
        <f t="shared" si="4"/>
        <v>Failed E05 Timeout</v>
      </c>
      <c r="L17" s="1" t="s">
        <v>74</v>
      </c>
      <c r="M17" s="1">
        <f t="shared" si="5"/>
        <v>69</v>
      </c>
      <c r="O17" s="1" t="str">
        <f>IFERROR(__xludf.DUMMYFUNCTION("Filter(merchant_master!$E$2:$E$6,E17=merchant_master!$B$2:$B$6)"),"APAC")</f>
        <v>APAC</v>
      </c>
      <c r="P17" s="1" t="s">
        <v>61</v>
      </c>
      <c r="Q17" s="1" t="s">
        <v>31</v>
      </c>
      <c r="R17" s="5">
        <f t="shared" si="6"/>
        <v>0</v>
      </c>
      <c r="S17" s="5">
        <f t="shared" si="7"/>
        <v>0</v>
      </c>
    </row>
    <row r="18" ht="15.75" customHeight="1">
      <c r="A18" s="1" t="s">
        <v>75</v>
      </c>
      <c r="B18" s="4">
        <v>46086.0</v>
      </c>
      <c r="C18" s="1" t="str">
        <f t="shared" si="1"/>
        <v>2026_03-05</v>
      </c>
      <c r="D18" s="1" t="s">
        <v>38</v>
      </c>
      <c r="E18" s="1" t="str">
        <f t="shared" si="2"/>
        <v>Beta Stores</v>
      </c>
      <c r="F18" s="1">
        <v>180000.0</v>
      </c>
      <c r="G18" s="1">
        <f>IFERROR(__xludf.DUMMYFUNCTION("filter(exchange_rates!$C$2:C$19,B18=exchange_rates!$A$2:$A$19, I18=exchange_rates!$B$2:$B$19)"),0.0118)</f>
        <v>0.0118</v>
      </c>
      <c r="H18" s="1">
        <f t="shared" si="3"/>
        <v>2124</v>
      </c>
      <c r="I18" s="1" t="s">
        <v>21</v>
      </c>
      <c r="J18" s="1" t="s">
        <v>76</v>
      </c>
      <c r="K18" s="1" t="str">
        <f t="shared" si="4"/>
        <v>Failed E05 Timeout</v>
      </c>
      <c r="L18" s="1" t="s">
        <v>77</v>
      </c>
      <c r="M18" s="1">
        <f t="shared" si="5"/>
        <v>72</v>
      </c>
      <c r="N18" s="1" t="s">
        <v>40</v>
      </c>
      <c r="O18" s="1" t="str">
        <f>IFERROR(__xludf.DUMMYFUNCTION("Filter(merchant_master!$E$2:$E$6,E18=merchant_master!$B$2:$B$6)"),"APAC")</f>
        <v>APAC</v>
      </c>
      <c r="P18" s="1" t="s">
        <v>61</v>
      </c>
      <c r="Q18" s="1" t="s">
        <v>31</v>
      </c>
      <c r="R18" s="5">
        <f t="shared" si="6"/>
        <v>0</v>
      </c>
      <c r="S18" s="5">
        <f t="shared" si="7"/>
        <v>1</v>
      </c>
    </row>
    <row r="19" ht="15.75" customHeight="1">
      <c r="A19" s="1" t="s">
        <v>78</v>
      </c>
      <c r="B19" s="4">
        <v>46086.0</v>
      </c>
      <c r="C19" s="1" t="str">
        <f t="shared" si="1"/>
        <v>2026_03-05</v>
      </c>
      <c r="D19" s="1" t="s">
        <v>33</v>
      </c>
      <c r="E19" s="1" t="str">
        <f t="shared" si="2"/>
        <v>Beta Stores</v>
      </c>
      <c r="F19" s="1">
        <v>145000.0</v>
      </c>
      <c r="G19" s="1">
        <f>IFERROR(__xludf.DUMMYFUNCTION("filter(exchange_rates!$C$2:C$19,B19=exchange_rates!$A$2:$A$19, I19=exchange_rates!$B$2:$B$19)"),0.0118)</f>
        <v>0.0118</v>
      </c>
      <c r="H19" s="1">
        <f t="shared" si="3"/>
        <v>1711</v>
      </c>
      <c r="I19" s="1" t="s">
        <v>21</v>
      </c>
      <c r="J19" s="1" t="s">
        <v>50</v>
      </c>
      <c r="K19" s="1" t="str">
        <f t="shared" si="4"/>
        <v>Chargeback</v>
      </c>
      <c r="L19" s="1" t="s">
        <v>79</v>
      </c>
      <c r="M19" s="1">
        <f t="shared" si="5"/>
        <v>86</v>
      </c>
      <c r="N19" s="1" t="s">
        <v>24</v>
      </c>
      <c r="O19" s="1" t="str">
        <f>IFERROR(__xludf.DUMMYFUNCTION("Filter(merchant_master!$E$2:$E$6,E19=merchant_master!$B$2:$B$6)"),"APAC")</f>
        <v>APAC</v>
      </c>
      <c r="P19" s="1" t="s">
        <v>61</v>
      </c>
      <c r="Q19" s="1" t="s">
        <v>26</v>
      </c>
      <c r="R19" s="5">
        <f t="shared" si="6"/>
        <v>0</v>
      </c>
      <c r="S19" s="5">
        <f t="shared" si="7"/>
        <v>1</v>
      </c>
    </row>
    <row r="20" ht="15.75" customHeight="1">
      <c r="A20" s="1" t="s">
        <v>80</v>
      </c>
      <c r="B20" s="4">
        <v>46086.0</v>
      </c>
      <c r="C20" s="1" t="str">
        <f t="shared" si="1"/>
        <v>2026_03-05</v>
      </c>
      <c r="D20" s="1" t="s">
        <v>49</v>
      </c>
      <c r="E20" s="1" t="str">
        <f t="shared" si="2"/>
        <v>Alpha Mart</v>
      </c>
      <c r="F20" s="1">
        <v>260000.0</v>
      </c>
      <c r="G20" s="1">
        <f>IFERROR(__xludf.DUMMYFUNCTION("filter(exchange_rates!$C$2:C$19,B20=exchange_rates!$A$2:$A$19, I20=exchange_rates!$B$2:$B$19)"),0.0118)</f>
        <v>0.0118</v>
      </c>
      <c r="H20" s="1">
        <f t="shared" si="3"/>
        <v>3068</v>
      </c>
      <c r="I20" s="1" t="s">
        <v>21</v>
      </c>
      <c r="J20" s="1" t="s">
        <v>76</v>
      </c>
      <c r="K20" s="1" t="str">
        <f t="shared" si="4"/>
        <v>Failed E05 Timeout</v>
      </c>
      <c r="L20" s="1" t="s">
        <v>81</v>
      </c>
      <c r="M20" s="1">
        <f t="shared" si="5"/>
        <v>67</v>
      </c>
      <c r="N20" s="1" t="s">
        <v>40</v>
      </c>
      <c r="O20" s="1" t="str">
        <f>IFERROR(__xludf.DUMMYFUNCTION("Filter(merchant_master!$E$2:$E$6,E20=merchant_master!$B$2:$B$6)"),"APAC")</f>
        <v>APAC</v>
      </c>
      <c r="P20" s="1" t="s">
        <v>61</v>
      </c>
      <c r="Q20" s="1" t="s">
        <v>47</v>
      </c>
      <c r="R20" s="5">
        <f t="shared" si="6"/>
        <v>0</v>
      </c>
      <c r="S20" s="5">
        <f t="shared" si="7"/>
        <v>0</v>
      </c>
    </row>
    <row r="21" ht="15.75" customHeight="1">
      <c r="A21" s="1" t="s">
        <v>82</v>
      </c>
      <c r="B21" s="4">
        <v>46086.0</v>
      </c>
      <c r="C21" s="1" t="str">
        <f t="shared" si="1"/>
        <v>2026_03-05</v>
      </c>
      <c r="D21" s="1" t="s">
        <v>43</v>
      </c>
      <c r="E21" s="1" t="str">
        <f t="shared" si="2"/>
        <v>Alpha Mart</v>
      </c>
      <c r="F21" s="1">
        <v>520000.0</v>
      </c>
      <c r="G21" s="1">
        <f>IFERROR(__xludf.DUMMYFUNCTION("filter(exchange_rates!$C$2:C$19,B21=exchange_rates!$A$2:$A$19, I21=exchange_rates!$B$2:$B$19)"),0.0118)</f>
        <v>0.0118</v>
      </c>
      <c r="H21" s="1">
        <f t="shared" si="3"/>
        <v>6136</v>
      </c>
      <c r="I21" s="1" t="s">
        <v>21</v>
      </c>
      <c r="J21" s="1" t="s">
        <v>29</v>
      </c>
      <c r="K21" s="1" t="str">
        <f t="shared" si="4"/>
        <v>Captured</v>
      </c>
      <c r="L21" s="1">
        <v>75.0</v>
      </c>
      <c r="M21" s="1">
        <f t="shared" si="5"/>
        <v>75</v>
      </c>
      <c r="N21" s="1" t="s">
        <v>24</v>
      </c>
      <c r="O21" s="1" t="str">
        <f>IFERROR(__xludf.DUMMYFUNCTION("Filter(merchant_master!$E$2:$E$6,E21=merchant_master!$B$2:$B$6)"),"APAC")</f>
        <v>APAC</v>
      </c>
      <c r="P21" s="1" t="s">
        <v>46</v>
      </c>
      <c r="Q21" s="1" t="s">
        <v>26</v>
      </c>
      <c r="R21" s="5">
        <f t="shared" si="6"/>
        <v>1</v>
      </c>
      <c r="S21" s="5">
        <f t="shared" si="7"/>
        <v>1</v>
      </c>
    </row>
    <row r="22" ht="15.75" customHeight="1">
      <c r="A22" s="1" t="s">
        <v>83</v>
      </c>
      <c r="B22" s="4">
        <v>46087.0</v>
      </c>
      <c r="C22" s="1" t="str">
        <f t="shared" si="1"/>
        <v>2026_03-06</v>
      </c>
      <c r="D22" s="1" t="s">
        <v>84</v>
      </c>
      <c r="E22" s="1" t="str">
        <f t="shared" si="2"/>
        <v>Beta Stores</v>
      </c>
      <c r="F22" s="1">
        <v>330000.0</v>
      </c>
      <c r="G22" s="1">
        <f>IFERROR(__xludf.DUMMYFUNCTION("filter(exchange_rates!$C$2:C$19,B22=exchange_rates!$A$2:$A$19, I22=exchange_rates!$B$2:$B$19)"),0.0119)</f>
        <v>0.0119</v>
      </c>
      <c r="H22" s="1">
        <f t="shared" si="3"/>
        <v>3927</v>
      </c>
      <c r="I22" s="1" t="s">
        <v>21</v>
      </c>
      <c r="J22" s="1" t="s">
        <v>22</v>
      </c>
      <c r="K22" s="1" t="str">
        <f t="shared" si="4"/>
        <v>Captured</v>
      </c>
      <c r="L22" s="1" t="s">
        <v>85</v>
      </c>
      <c r="M22" s="1">
        <f t="shared" si="5"/>
        <v>63</v>
      </c>
      <c r="O22" s="1" t="str">
        <f>IFERROR(__xludf.DUMMYFUNCTION("Filter(merchant_master!$E$2:$E$6,E22=merchant_master!$B$2:$B$6)"),"APAC")</f>
        <v>APAC</v>
      </c>
      <c r="P22" s="1" t="s">
        <v>52</v>
      </c>
      <c r="Q22" s="1" t="s">
        <v>31</v>
      </c>
      <c r="R22" s="5">
        <f t="shared" si="6"/>
        <v>0</v>
      </c>
      <c r="S22" s="5">
        <f t="shared" si="7"/>
        <v>0</v>
      </c>
    </row>
    <row r="23" ht="15.75" customHeight="1">
      <c r="A23" s="1" t="s">
        <v>86</v>
      </c>
      <c r="B23" s="4">
        <v>46087.0</v>
      </c>
      <c r="C23" s="1" t="str">
        <f t="shared" si="1"/>
        <v>2026_03-06</v>
      </c>
      <c r="D23" s="1" t="s">
        <v>28</v>
      </c>
      <c r="E23" s="1" t="str">
        <f t="shared" si="2"/>
        <v>Alpha Mart</v>
      </c>
      <c r="F23" s="1">
        <v>410000.0</v>
      </c>
      <c r="G23" s="1">
        <f>IFERROR(__xludf.DUMMYFUNCTION("filter(exchange_rates!$C$2:C$19,B23=exchange_rates!$A$2:$A$19, I23=exchange_rates!$B$2:$B$19)"),0.0119)</f>
        <v>0.0119</v>
      </c>
      <c r="H23" s="1">
        <f t="shared" si="3"/>
        <v>4879</v>
      </c>
      <c r="I23" s="1" t="s">
        <v>21</v>
      </c>
      <c r="J23" s="1" t="s">
        <v>22</v>
      </c>
      <c r="K23" s="1" t="str">
        <f t="shared" si="4"/>
        <v>Captured</v>
      </c>
      <c r="L23" s="1">
        <v>60.0</v>
      </c>
      <c r="M23" s="1">
        <f t="shared" si="5"/>
        <v>60</v>
      </c>
      <c r="N23" s="1" t="s">
        <v>24</v>
      </c>
      <c r="O23" s="1" t="str">
        <f>IFERROR(__xludf.DUMMYFUNCTION("Filter(merchant_master!$E$2:$E$6,E23=merchant_master!$B$2:$B$6)"),"APAC")</f>
        <v>APAC</v>
      </c>
      <c r="P23" s="1" t="s">
        <v>54</v>
      </c>
      <c r="Q23" s="1" t="s">
        <v>26</v>
      </c>
      <c r="R23" s="5">
        <f t="shared" si="6"/>
        <v>0</v>
      </c>
      <c r="S23" s="5">
        <f t="shared" si="7"/>
        <v>0</v>
      </c>
    </row>
    <row r="24" ht="15.75" customHeight="1">
      <c r="A24" s="1" t="s">
        <v>87</v>
      </c>
      <c r="B24" s="4">
        <v>46082.0</v>
      </c>
      <c r="C24" s="1" t="str">
        <f t="shared" si="1"/>
        <v>2026_03-01</v>
      </c>
      <c r="D24" s="1" t="s">
        <v>88</v>
      </c>
      <c r="E24" s="1" t="str">
        <f t="shared" si="2"/>
        <v>City Pharma</v>
      </c>
      <c r="F24" s="1">
        <v>5200.0</v>
      </c>
      <c r="G24" s="1">
        <f>IFERROR(__xludf.DUMMYFUNCTION("filter(exchange_rates!$C$2:C$19,B24=exchange_rates!$A$2:$A$19, I24=exchange_rates!$B$2:$B$19)"),1.08)</f>
        <v>1.08</v>
      </c>
      <c r="H24" s="1">
        <f t="shared" si="3"/>
        <v>5616</v>
      </c>
      <c r="I24" s="1" t="s">
        <v>89</v>
      </c>
      <c r="J24" s="1" t="s">
        <v>29</v>
      </c>
      <c r="K24" s="1" t="str">
        <f t="shared" si="4"/>
        <v>Captured</v>
      </c>
      <c r="L24" s="1">
        <v>42.0</v>
      </c>
      <c r="M24" s="1">
        <f t="shared" si="5"/>
        <v>42</v>
      </c>
      <c r="N24" s="1" t="s">
        <v>90</v>
      </c>
      <c r="O24" s="1" t="str">
        <f>IFERROR(__xludf.DUMMYFUNCTION("Filter(merchant_master!$E$2:$E$6,E24=merchant_master!$B$2:$B$6)"),"EU")</f>
        <v>EU</v>
      </c>
      <c r="P24" s="1" t="s">
        <v>35</v>
      </c>
      <c r="Q24" s="1" t="s">
        <v>31</v>
      </c>
      <c r="R24" s="5">
        <f t="shared" si="6"/>
        <v>0</v>
      </c>
      <c r="S24" s="5">
        <f t="shared" si="7"/>
        <v>0</v>
      </c>
    </row>
    <row r="25" ht="15.75" customHeight="1">
      <c r="A25" s="1" t="s">
        <v>91</v>
      </c>
      <c r="B25" s="4">
        <v>46083.0</v>
      </c>
      <c r="C25" s="1" t="str">
        <f t="shared" si="1"/>
        <v>2026_03-02</v>
      </c>
      <c r="D25" s="1" t="s">
        <v>92</v>
      </c>
      <c r="E25" s="1" t="str">
        <f t="shared" si="2"/>
        <v>Eco Home</v>
      </c>
      <c r="F25" s="1">
        <v>6100.0</v>
      </c>
      <c r="G25" s="1">
        <f>IFERROR(__xludf.DUMMYFUNCTION("filter(exchange_rates!$C$2:C$19,B25=exchange_rates!$A$2:$A$19, I25=exchange_rates!$B$2:$B$19)"),1.09)</f>
        <v>1.09</v>
      </c>
      <c r="H25" s="1">
        <f t="shared" si="3"/>
        <v>6649</v>
      </c>
      <c r="I25" s="1" t="s">
        <v>89</v>
      </c>
      <c r="J25" s="1" t="s">
        <v>50</v>
      </c>
      <c r="K25" s="1" t="str">
        <f t="shared" si="4"/>
        <v>Chargeback</v>
      </c>
      <c r="L25" s="1" t="s">
        <v>93</v>
      </c>
      <c r="M25" s="1">
        <f t="shared" si="5"/>
        <v>65</v>
      </c>
      <c r="N25" s="1" t="s">
        <v>90</v>
      </c>
      <c r="O25" s="1" t="str">
        <f>IFERROR(__xludf.DUMMYFUNCTION("Filter(merchant_master!$E$2:$E$6,E25=merchant_master!$B$2:$B$6)"),"EU")</f>
        <v>EU</v>
      </c>
      <c r="P25" s="1" t="s">
        <v>41</v>
      </c>
      <c r="Q25" s="1" t="s">
        <v>31</v>
      </c>
      <c r="R25" s="5">
        <f t="shared" si="6"/>
        <v>1</v>
      </c>
      <c r="S25" s="5">
        <f t="shared" si="7"/>
        <v>1</v>
      </c>
    </row>
    <row r="26" ht="15.75" customHeight="1">
      <c r="A26" s="1" t="s">
        <v>94</v>
      </c>
      <c r="B26" s="4">
        <v>46084.0</v>
      </c>
      <c r="C26" s="1" t="str">
        <f t="shared" si="1"/>
        <v>2026_03-03</v>
      </c>
      <c r="D26" s="1" t="s">
        <v>88</v>
      </c>
      <c r="E26" s="1" t="str">
        <f t="shared" si="2"/>
        <v>City Pharma</v>
      </c>
      <c r="F26" s="1">
        <v>2800.0</v>
      </c>
      <c r="G26" s="1">
        <f>IFERROR(__xludf.DUMMYFUNCTION("filter(exchange_rates!$C$2:C$19,B26=exchange_rates!$A$2:$A$19, I26=exchange_rates!$B$2:$B$19)"),1.08)</f>
        <v>1.08</v>
      </c>
      <c r="H26" s="1">
        <f t="shared" si="3"/>
        <v>3024</v>
      </c>
      <c r="I26" s="1" t="s">
        <v>89</v>
      </c>
      <c r="J26" s="1" t="s">
        <v>22</v>
      </c>
      <c r="K26" s="1" t="str">
        <f t="shared" si="4"/>
        <v>Captured</v>
      </c>
      <c r="L26" s="1">
        <v>38.0</v>
      </c>
      <c r="M26" s="1">
        <f t="shared" si="5"/>
        <v>38</v>
      </c>
      <c r="N26" s="1" t="s">
        <v>95</v>
      </c>
      <c r="O26" s="1" t="str">
        <f>IFERROR(__xludf.DUMMYFUNCTION("Filter(merchant_master!$E$2:$E$6,E26=merchant_master!$B$2:$B$6)"),"EU")</f>
        <v>EU</v>
      </c>
      <c r="P26" s="1" t="s">
        <v>46</v>
      </c>
      <c r="Q26" s="1" t="s">
        <v>47</v>
      </c>
      <c r="R26" s="5">
        <f t="shared" si="6"/>
        <v>0</v>
      </c>
      <c r="S26" s="5">
        <f t="shared" si="7"/>
        <v>0</v>
      </c>
    </row>
    <row r="27" ht="15.75" customHeight="1">
      <c r="A27" s="1" t="s">
        <v>96</v>
      </c>
      <c r="B27" s="4">
        <v>46086.0</v>
      </c>
      <c r="C27" s="1" t="str">
        <f t="shared" si="1"/>
        <v>2026_03-05</v>
      </c>
      <c r="D27" s="1" t="s">
        <v>92</v>
      </c>
      <c r="E27" s="1" t="str">
        <f t="shared" si="2"/>
        <v>Eco Home</v>
      </c>
      <c r="F27" s="1">
        <v>3300.0</v>
      </c>
      <c r="G27" s="1">
        <f>IFERROR(__xludf.DUMMYFUNCTION("filter(exchange_rates!$C$2:C$19,B27=exchange_rates!$A$2:$A$19, I27=exchange_rates!$B$2:$B$19)"),1.09)</f>
        <v>1.09</v>
      </c>
      <c r="H27" s="1">
        <f t="shared" si="3"/>
        <v>3597</v>
      </c>
      <c r="I27" s="1" t="s">
        <v>89</v>
      </c>
      <c r="J27" s="1" t="s">
        <v>76</v>
      </c>
      <c r="K27" s="1" t="str">
        <f t="shared" si="4"/>
        <v>Failed E05 Timeout</v>
      </c>
      <c r="L27" s="1">
        <v>44.0</v>
      </c>
      <c r="M27" s="1">
        <f t="shared" si="5"/>
        <v>44</v>
      </c>
      <c r="N27" s="1" t="s">
        <v>90</v>
      </c>
      <c r="O27" s="1" t="str">
        <f>IFERROR(__xludf.DUMMYFUNCTION("Filter(merchant_master!$E$2:$E$6,E27=merchant_master!$B$2:$B$6)"),"EU")</f>
        <v>EU</v>
      </c>
      <c r="P27" s="1" t="s">
        <v>52</v>
      </c>
      <c r="Q27" s="1" t="s">
        <v>36</v>
      </c>
      <c r="R27" s="5">
        <f t="shared" si="6"/>
        <v>0</v>
      </c>
      <c r="S27" s="5">
        <f t="shared" si="7"/>
        <v>0</v>
      </c>
    </row>
    <row r="28" ht="15.75" customHeight="1">
      <c r="A28" s="1" t="s">
        <v>97</v>
      </c>
      <c r="B28" s="4">
        <v>46082.0</v>
      </c>
      <c r="C28" s="1" t="str">
        <f t="shared" si="1"/>
        <v>2026_03-01</v>
      </c>
      <c r="D28" s="1" t="s">
        <v>98</v>
      </c>
      <c r="E28" s="1" t="str">
        <f t="shared" si="2"/>
        <v>Delta Travels</v>
      </c>
      <c r="F28" s="1">
        <v>7200.0</v>
      </c>
      <c r="G28" s="1">
        <f>IFERROR(__xludf.DUMMYFUNCTION("filter(exchange_rates!$C$2:C$19,B28=exchange_rates!$A$2:$A$19, I28=exchange_rates!$B$2:$B$19)"),1.0)</f>
        <v>1</v>
      </c>
      <c r="H28" s="1">
        <f t="shared" si="3"/>
        <v>7200</v>
      </c>
      <c r="I28" s="1" t="s">
        <v>99</v>
      </c>
      <c r="J28" s="1" t="s">
        <v>22</v>
      </c>
      <c r="K28" s="1" t="str">
        <f t="shared" si="4"/>
        <v>Captured</v>
      </c>
      <c r="L28" s="1">
        <v>49.0</v>
      </c>
      <c r="M28" s="1">
        <f t="shared" si="5"/>
        <v>49</v>
      </c>
      <c r="N28" s="1" t="s">
        <v>100</v>
      </c>
      <c r="O28" s="1" t="str">
        <f>IFERROR(__xludf.DUMMYFUNCTION("Filter(merchant_master!$E$2:$E$6,E28=merchant_master!$B$2:$B$6)"),"US")</f>
        <v>US</v>
      </c>
      <c r="P28" s="1" t="s">
        <v>54</v>
      </c>
      <c r="Q28" s="1" t="s">
        <v>31</v>
      </c>
      <c r="R28" s="5">
        <f t="shared" si="6"/>
        <v>1</v>
      </c>
      <c r="S28" s="5">
        <f t="shared" si="7"/>
        <v>0</v>
      </c>
    </row>
    <row r="29" ht="15.75" customHeight="1">
      <c r="A29" s="1" t="s">
        <v>101</v>
      </c>
      <c r="B29" s="4">
        <v>46083.0</v>
      </c>
      <c r="C29" s="1" t="str">
        <f t="shared" si="1"/>
        <v>2026_03-02</v>
      </c>
      <c r="D29" s="1" t="s">
        <v>102</v>
      </c>
      <c r="E29" s="1" t="str">
        <f t="shared" si="2"/>
        <v>Delta Travels</v>
      </c>
      <c r="F29" s="1">
        <v>3100.0</v>
      </c>
      <c r="G29" s="1">
        <f>IFERROR(__xludf.DUMMYFUNCTION("filter(exchange_rates!$C$2:C$19,B29=exchange_rates!$A$2:$A$19, I29=exchange_rates!$B$2:$B$19)"),1.0)</f>
        <v>1</v>
      </c>
      <c r="H29" s="1">
        <f t="shared" si="3"/>
        <v>3100</v>
      </c>
      <c r="I29" s="1" t="s">
        <v>99</v>
      </c>
      <c r="J29" s="1" t="s">
        <v>34</v>
      </c>
      <c r="K29" s="1" t="str">
        <f t="shared" si="4"/>
        <v>Captured</v>
      </c>
      <c r="L29" s="1" t="s">
        <v>103</v>
      </c>
      <c r="M29" s="1">
        <f t="shared" si="5"/>
        <v>41</v>
      </c>
      <c r="N29" s="1" t="s">
        <v>104</v>
      </c>
      <c r="O29" s="1" t="str">
        <f>IFERROR(__xludf.DUMMYFUNCTION("Filter(merchant_master!$E$2:$E$6,E29=merchant_master!$B$2:$B$6)"),"US")</f>
        <v>US</v>
      </c>
      <c r="P29" s="1" t="s">
        <v>61</v>
      </c>
      <c r="Q29" s="1" t="s">
        <v>31</v>
      </c>
      <c r="R29" s="5">
        <f t="shared" si="6"/>
        <v>0</v>
      </c>
      <c r="S29" s="5">
        <f t="shared" si="7"/>
        <v>0</v>
      </c>
    </row>
    <row r="30" ht="15.75" customHeight="1">
      <c r="A30" s="1" t="s">
        <v>105</v>
      </c>
      <c r="B30" s="4">
        <v>46085.0</v>
      </c>
      <c r="C30" s="1" t="str">
        <f t="shared" si="1"/>
        <v>2026_03-04</v>
      </c>
      <c r="D30" s="1" t="s">
        <v>106</v>
      </c>
      <c r="E30" s="1" t="str">
        <f t="shared" si="2"/>
        <v>Delta Travels</v>
      </c>
      <c r="F30" s="1">
        <v>2500.0</v>
      </c>
      <c r="G30" s="1">
        <f>IFERROR(__xludf.DUMMYFUNCTION("filter(exchange_rates!$C$2:C$19,B30=exchange_rates!$A$2:$A$19, I30=exchange_rates!$B$2:$B$19)"),1.0)</f>
        <v>1</v>
      </c>
      <c r="H30" s="1">
        <f t="shared" si="3"/>
        <v>2500</v>
      </c>
      <c r="I30" s="1" t="s">
        <v>99</v>
      </c>
      <c r="J30" s="1" t="s">
        <v>50</v>
      </c>
      <c r="K30" s="1" t="str">
        <f t="shared" si="4"/>
        <v>Chargeback</v>
      </c>
      <c r="L30" s="1" t="s">
        <v>107</v>
      </c>
      <c r="M30" s="1">
        <f t="shared" si="5"/>
        <v>58</v>
      </c>
      <c r="N30" s="1" t="s">
        <v>104</v>
      </c>
      <c r="O30" s="1" t="str">
        <f>IFERROR(__xludf.DUMMYFUNCTION("Filter(merchant_master!$E$2:$E$6,E30=merchant_master!$B$2:$B$6)"),"US")</f>
        <v>US</v>
      </c>
      <c r="P30" s="1" t="s">
        <v>64</v>
      </c>
      <c r="Q30" s="1" t="s">
        <v>47</v>
      </c>
      <c r="R30" s="5">
        <f t="shared" si="6"/>
        <v>0</v>
      </c>
      <c r="S30" s="5">
        <f t="shared" si="7"/>
        <v>1</v>
      </c>
    </row>
    <row r="31" ht="15.75" customHeight="1">
      <c r="A31" s="1" t="s">
        <v>108</v>
      </c>
      <c r="B31" s="4">
        <v>46087.0</v>
      </c>
      <c r="C31" s="1" t="str">
        <f t="shared" si="1"/>
        <v>2026_03-06</v>
      </c>
      <c r="D31" s="1" t="s">
        <v>98</v>
      </c>
      <c r="E31" s="1" t="str">
        <f t="shared" si="2"/>
        <v>Delta Travels</v>
      </c>
      <c r="F31" s="1">
        <v>1800.0</v>
      </c>
      <c r="G31" s="1">
        <f>IFERROR(__xludf.DUMMYFUNCTION("filter(exchange_rates!$C$2:C$19,B31=exchange_rates!$A$2:$A$19, I31=exchange_rates!$B$2:$B$19)"),1.0)</f>
        <v>1</v>
      </c>
      <c r="H31" s="1">
        <f t="shared" si="3"/>
        <v>1800</v>
      </c>
      <c r="I31" s="1" t="s">
        <v>99</v>
      </c>
      <c r="J31" s="1" t="s">
        <v>76</v>
      </c>
      <c r="K31" s="1" t="str">
        <f t="shared" si="4"/>
        <v>Failed E05 Timeout</v>
      </c>
      <c r="L31" s="1" t="s">
        <v>109</v>
      </c>
      <c r="M31" s="1">
        <f t="shared" si="5"/>
        <v>47</v>
      </c>
      <c r="N31" s="1" t="s">
        <v>104</v>
      </c>
      <c r="O31" s="1" t="str">
        <f>IFERROR(__xludf.DUMMYFUNCTION("Filter(merchant_master!$E$2:$E$6,E31=merchant_master!$B$2:$B$6)"),"US")</f>
        <v>US</v>
      </c>
      <c r="P31" s="1" t="s">
        <v>67</v>
      </c>
      <c r="Q31" s="1" t="s">
        <v>26</v>
      </c>
      <c r="R31" s="5">
        <f t="shared" si="6"/>
        <v>0</v>
      </c>
      <c r="S31" s="5">
        <f t="shared" si="7"/>
        <v>0</v>
      </c>
    </row>
    <row r="32" ht="15.75" customHeight="1">
      <c r="R32" s="6">
        <f t="shared" ref="R32:S32" si="8">sum(R2:R31)</f>
        <v>7</v>
      </c>
      <c r="S32" s="6">
        <f t="shared" si="8"/>
        <v>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G$3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0.63"/>
    <col customWidth="1" min="3" max="3" width="16.13"/>
    <col customWidth="1" min="6" max="6" width="20.63"/>
    <col customWidth="1" min="7" max="7" width="17.75"/>
  </cols>
  <sheetData>
    <row r="1">
      <c r="A1" s="7" t="s">
        <v>110</v>
      </c>
      <c r="E1" s="7" t="s">
        <v>111</v>
      </c>
    </row>
    <row r="2"/>
    <row r="3"/>
    <row r="4"/>
    <row r="5"/>
    <row r="6"/>
    <row r="7"/>
  </sheetData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2.88"/>
    <col customWidth="1" min="3" max="3" width="20.88"/>
    <col customWidth="1" min="4" max="4" width="16.25"/>
    <col customWidth="1" min="5" max="5" width="21.75"/>
    <col customWidth="1" min="6" max="6" width="12.63"/>
    <col customWidth="1" min="7" max="7" width="22.63"/>
    <col customWidth="1" min="8" max="8" width="17.75"/>
    <col customWidth="1" min="9" max="9" width="10.5"/>
    <col customWidth="1" min="10" max="10" width="18.0"/>
    <col customWidth="1" min="11" max="11" width="15.5"/>
    <col customWidth="1" min="13" max="13" width="19.0"/>
    <col customWidth="1" min="15" max="15" width="22.25"/>
    <col customWidth="1" min="17" max="17" width="17.25"/>
  </cols>
  <sheetData>
    <row r="1" ht="15.75" customHeight="1">
      <c r="A1" s="8" t="s">
        <v>0</v>
      </c>
      <c r="B1" s="8" t="s">
        <v>1</v>
      </c>
      <c r="C1" s="9" t="s">
        <v>2</v>
      </c>
      <c r="D1" s="8" t="s">
        <v>3</v>
      </c>
      <c r="E1" s="9" t="s">
        <v>4</v>
      </c>
      <c r="F1" s="8" t="s">
        <v>5</v>
      </c>
      <c r="G1" s="9" t="s">
        <v>6</v>
      </c>
      <c r="H1" s="9" t="s">
        <v>7</v>
      </c>
      <c r="I1" s="8" t="s">
        <v>8</v>
      </c>
      <c r="J1" s="8" t="s">
        <v>9</v>
      </c>
      <c r="K1" s="9" t="s">
        <v>10</v>
      </c>
      <c r="L1" s="8" t="s">
        <v>11</v>
      </c>
      <c r="M1" s="9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15.75" customHeight="1">
      <c r="A2" s="1" t="s">
        <v>19</v>
      </c>
      <c r="B2" s="4">
        <v>46082.0</v>
      </c>
      <c r="C2" s="1" t="str">
        <f t="shared" ref="C2:C31" si="1">TEXT(if(or(B2="", B2="UNKNOWN", B2="ERROR"), "1900-01-01", B2), "YYYY_MM-DD")</f>
        <v>2026_03-01</v>
      </c>
      <c r="D2" s="1" t="s">
        <v>20</v>
      </c>
      <c r="E2" s="1" t="str">
        <f t="shared" ref="E2:E31" si="2">trim(if(OR(D2="", D2="ERROR", D2="UNKNOWN"), "INVALID_OR_MISSING", proper(D2)))</f>
        <v>Alpha Mart</v>
      </c>
      <c r="F2" s="1">
        <v>420000.0</v>
      </c>
      <c r="G2" s="1">
        <f>IFERROR(__xludf.DUMMYFUNCTION("filter(exchange_rates!$C$2:C$19,B2=exchange_rates!$A$2:$A$19, I2=exchange_rates!$B$2:$B$19)"),0.0119)</f>
        <v>0.0119</v>
      </c>
      <c r="H2" s="1">
        <f t="shared" ref="H2:H31" si="3">G2*F2</f>
        <v>4998</v>
      </c>
      <c r="I2" s="1" t="s">
        <v>21</v>
      </c>
      <c r="J2" s="1" t="s">
        <v>22</v>
      </c>
      <c r="K2" s="1" t="str">
        <f t="shared" ref="K2:K31" si="4">if(OR(J2="",J2 ="ERROR",J2 ="UNKNOWN"), "INVALID_OR_MISSING", proper(J2))</f>
        <v>Captured</v>
      </c>
      <c r="L2" s="1" t="s">
        <v>23</v>
      </c>
      <c r="M2" s="1">
        <f t="shared" ref="M2:M31" si="5">if(OR(L2="",L2 ="ERROR",L2 ="UNKNOWN"), "INVALID_OR_MISSING", value(RIGHT(L2, 2)))</f>
        <v>62</v>
      </c>
      <c r="N2" s="1" t="s">
        <v>24</v>
      </c>
      <c r="O2" s="1" t="str">
        <f>IFERROR(__xludf.DUMMYFUNCTION("Filter(merchant_master!$E$2:$E$6,E2=merchant_master!$B$2:$B$6)"),"APAC")</f>
        <v>APAC</v>
      </c>
      <c r="P2" s="1" t="s">
        <v>25</v>
      </c>
      <c r="Q2" s="1" t="s">
        <v>26</v>
      </c>
    </row>
    <row r="3" ht="15.75" customHeight="1">
      <c r="A3" s="1" t="s">
        <v>27</v>
      </c>
      <c r="B3" s="4">
        <v>46082.0</v>
      </c>
      <c r="C3" s="1" t="str">
        <f t="shared" si="1"/>
        <v>2026_03-01</v>
      </c>
      <c r="D3" s="1" t="s">
        <v>28</v>
      </c>
      <c r="E3" s="1" t="str">
        <f t="shared" si="2"/>
        <v>Alpha Mart</v>
      </c>
      <c r="F3" s="1">
        <v>210000.0</v>
      </c>
      <c r="G3" s="1">
        <f>IFERROR(__xludf.DUMMYFUNCTION("filter(exchange_rates!$C$2:C$19,B3=exchange_rates!$A$2:$A$19, I3=exchange_rates!$B$2:$B$19)"),0.0119)</f>
        <v>0.0119</v>
      </c>
      <c r="H3" s="1">
        <f t="shared" si="3"/>
        <v>2499</v>
      </c>
      <c r="I3" s="1" t="s">
        <v>21</v>
      </c>
      <c r="J3" s="1" t="s">
        <v>29</v>
      </c>
      <c r="K3" s="1" t="str">
        <f t="shared" si="4"/>
        <v>Captured</v>
      </c>
      <c r="L3" s="1">
        <v>55.0</v>
      </c>
      <c r="M3" s="1">
        <f t="shared" si="5"/>
        <v>55</v>
      </c>
      <c r="O3" s="1" t="str">
        <f>IFERROR(__xludf.DUMMYFUNCTION("Filter(merchant_master!$E$2:$E$6,E3=merchant_master!$B$2:$B$6)"),"APAC")</f>
        <v>APAC</v>
      </c>
      <c r="P3" s="1" t="s">
        <v>30</v>
      </c>
      <c r="Q3" s="1" t="s">
        <v>31</v>
      </c>
    </row>
    <row r="4" ht="15.75" customHeight="1">
      <c r="A4" s="1" t="s">
        <v>32</v>
      </c>
      <c r="B4" s="4">
        <v>46082.0</v>
      </c>
      <c r="C4" s="1" t="str">
        <f t="shared" si="1"/>
        <v>2026_03-01</v>
      </c>
      <c r="D4" s="1" t="s">
        <v>33</v>
      </c>
      <c r="E4" s="1" t="str">
        <f t="shared" si="2"/>
        <v>Beta Stores</v>
      </c>
      <c r="F4" s="1">
        <v>510000.0</v>
      </c>
      <c r="G4" s="1">
        <f>IFERROR(__xludf.DUMMYFUNCTION("filter(exchange_rates!$C$2:C$19,B4=exchange_rates!$A$2:$A$19, I4=exchange_rates!$B$2:$B$19)"),0.0119)</f>
        <v>0.0119</v>
      </c>
      <c r="H4" s="1">
        <f t="shared" si="3"/>
        <v>6069</v>
      </c>
      <c r="I4" s="1" t="s">
        <v>21</v>
      </c>
      <c r="J4" s="1" t="s">
        <v>34</v>
      </c>
      <c r="K4" s="1" t="str">
        <f t="shared" si="4"/>
        <v>Captured</v>
      </c>
      <c r="L4" s="1">
        <v>71.0</v>
      </c>
      <c r="M4" s="1">
        <f t="shared" si="5"/>
        <v>71</v>
      </c>
      <c r="N4" s="1" t="s">
        <v>24</v>
      </c>
      <c r="O4" s="1" t="str">
        <f>IFERROR(__xludf.DUMMYFUNCTION("Filter(merchant_master!$E$2:$E$6,E4=merchant_master!$B$2:$B$6)"),"APAC")</f>
        <v>APAC</v>
      </c>
      <c r="P4" s="1" t="s">
        <v>35</v>
      </c>
      <c r="Q4" s="1" t="s">
        <v>36</v>
      </c>
    </row>
    <row r="5" ht="15.75" customHeight="1">
      <c r="A5" s="1" t="s">
        <v>37</v>
      </c>
      <c r="B5" s="4">
        <v>46083.0</v>
      </c>
      <c r="C5" s="1" t="str">
        <f t="shared" si="1"/>
        <v>2026_03-02</v>
      </c>
      <c r="D5" s="1" t="s">
        <v>38</v>
      </c>
      <c r="E5" s="1" t="str">
        <f t="shared" si="2"/>
        <v>Beta Stores</v>
      </c>
      <c r="F5" s="1">
        <v>160000.0</v>
      </c>
      <c r="G5" s="1">
        <f>IFERROR(__xludf.DUMMYFUNCTION("filter(exchange_rates!$C$2:C$19,B5=exchange_rates!$A$2:$A$19, I5=exchange_rates!$B$2:$B$19)"),0.012)</f>
        <v>0.012</v>
      </c>
      <c r="H5" s="1">
        <f t="shared" si="3"/>
        <v>1920</v>
      </c>
      <c r="I5" s="1" t="s">
        <v>21</v>
      </c>
      <c r="J5" s="1" t="s">
        <v>39</v>
      </c>
      <c r="K5" s="1" t="str">
        <f t="shared" si="4"/>
        <v>Failed E05 Timeout</v>
      </c>
      <c r="L5" s="1">
        <v>68.0</v>
      </c>
      <c r="M5" s="1">
        <f t="shared" si="5"/>
        <v>68</v>
      </c>
      <c r="N5" s="1" t="s">
        <v>40</v>
      </c>
      <c r="O5" s="1" t="str">
        <f>IFERROR(__xludf.DUMMYFUNCTION("Filter(merchant_master!$E$2:$E$6,E5=merchant_master!$B$2:$B$6)"),"APAC")</f>
        <v>APAC</v>
      </c>
      <c r="P5" s="1" t="s">
        <v>41</v>
      </c>
      <c r="Q5" s="1" t="s">
        <v>31</v>
      </c>
    </row>
    <row r="6" ht="15.75" customHeight="1">
      <c r="A6" s="1" t="s">
        <v>42</v>
      </c>
      <c r="B6" s="4">
        <v>46083.0</v>
      </c>
      <c r="C6" s="1" t="str">
        <f t="shared" si="1"/>
        <v>2026_03-02</v>
      </c>
      <c r="D6" s="1" t="s">
        <v>43</v>
      </c>
      <c r="E6" s="1" t="str">
        <f t="shared" si="2"/>
        <v>Alpha Mart</v>
      </c>
      <c r="F6" s="1">
        <v>390000.0</v>
      </c>
      <c r="G6" s="1">
        <f>IFERROR(__xludf.DUMMYFUNCTION("filter(exchange_rates!$C$2:C$19,B6=exchange_rates!$A$2:$A$19, I6=exchange_rates!$B$2:$B$19)"),0.012)</f>
        <v>0.012</v>
      </c>
      <c r="H6" s="1">
        <f t="shared" si="3"/>
        <v>4680</v>
      </c>
      <c r="I6" s="1" t="s">
        <v>21</v>
      </c>
      <c r="J6" s="1" t="s">
        <v>34</v>
      </c>
      <c r="K6" s="1" t="str">
        <f t="shared" si="4"/>
        <v>Captured</v>
      </c>
      <c r="L6" s="1">
        <v>58.0</v>
      </c>
      <c r="M6" s="1">
        <f t="shared" si="5"/>
        <v>58</v>
      </c>
      <c r="O6" s="1" t="str">
        <f>IFERROR(__xludf.DUMMYFUNCTION("Filter(merchant_master!$E$2:$E$6,E6=merchant_master!$B$2:$B$6)"),"APAC")</f>
        <v>APAC</v>
      </c>
      <c r="P6" s="1" t="s">
        <v>25</v>
      </c>
      <c r="Q6" s="1" t="s">
        <v>26</v>
      </c>
    </row>
    <row r="7" ht="15.75" customHeight="1">
      <c r="A7" s="1" t="s">
        <v>44</v>
      </c>
      <c r="B7" s="4">
        <v>46083.0</v>
      </c>
      <c r="C7" s="1" t="str">
        <f t="shared" si="1"/>
        <v>2026_03-02</v>
      </c>
      <c r="D7" s="1" t="s">
        <v>38</v>
      </c>
      <c r="E7" s="1" t="str">
        <f t="shared" si="2"/>
        <v>Beta Stores</v>
      </c>
      <c r="F7" s="1">
        <v>275000.0</v>
      </c>
      <c r="G7" s="1">
        <f>IFERROR(__xludf.DUMMYFUNCTION("filter(exchange_rates!$C$2:C$19,B7=exchange_rates!$A$2:$A$19, I7=exchange_rates!$B$2:$B$19)"),0.012)</f>
        <v>0.012</v>
      </c>
      <c r="H7" s="1">
        <f t="shared" si="3"/>
        <v>3300</v>
      </c>
      <c r="I7" s="1" t="s">
        <v>21</v>
      </c>
      <c r="J7" s="1" t="s">
        <v>29</v>
      </c>
      <c r="K7" s="1" t="str">
        <f t="shared" si="4"/>
        <v>Captured</v>
      </c>
      <c r="L7" s="1" t="s">
        <v>45</v>
      </c>
      <c r="M7" s="1">
        <f t="shared" si="5"/>
        <v>64</v>
      </c>
      <c r="O7" s="1" t="str">
        <f>IFERROR(__xludf.DUMMYFUNCTION("Filter(merchant_master!$E$2:$E$6,E7=merchant_master!$B$2:$B$6)"),"APAC")</f>
        <v>APAC</v>
      </c>
      <c r="P7" s="1" t="s">
        <v>46</v>
      </c>
      <c r="Q7" s="1" t="s">
        <v>47</v>
      </c>
    </row>
    <row r="8" ht="15.75" customHeight="1">
      <c r="A8" s="1" t="s">
        <v>48</v>
      </c>
      <c r="B8" s="4">
        <v>46083.0</v>
      </c>
      <c r="C8" s="1" t="str">
        <f t="shared" si="1"/>
        <v>2026_03-02</v>
      </c>
      <c r="D8" s="1" t="s">
        <v>49</v>
      </c>
      <c r="E8" s="1" t="str">
        <f t="shared" si="2"/>
        <v>Alpha Mart</v>
      </c>
      <c r="F8" s="1">
        <v>450000.0</v>
      </c>
      <c r="G8" s="1">
        <f>IFERROR(__xludf.DUMMYFUNCTION("filter(exchange_rates!$C$2:C$19,B8=exchange_rates!$A$2:$A$19, I8=exchange_rates!$B$2:$B$19)"),0.012)</f>
        <v>0.012</v>
      </c>
      <c r="H8" s="1">
        <f t="shared" si="3"/>
        <v>5400</v>
      </c>
      <c r="I8" s="1" t="s">
        <v>21</v>
      </c>
      <c r="J8" s="1" t="s">
        <v>50</v>
      </c>
      <c r="K8" s="1" t="str">
        <f t="shared" si="4"/>
        <v>Chargeback</v>
      </c>
      <c r="L8" s="1" t="s">
        <v>51</v>
      </c>
      <c r="M8" s="1">
        <f t="shared" si="5"/>
        <v>83</v>
      </c>
      <c r="N8" s="1" t="s">
        <v>24</v>
      </c>
      <c r="O8" s="1" t="str">
        <f>IFERROR(__xludf.DUMMYFUNCTION("Filter(merchant_master!$E$2:$E$6,E8=merchant_master!$B$2:$B$6)"),"APAC")</f>
        <v>APAC</v>
      </c>
      <c r="P8" s="1" t="s">
        <v>52</v>
      </c>
      <c r="Q8" s="1" t="s">
        <v>31</v>
      </c>
    </row>
    <row r="9" ht="15.75" customHeight="1">
      <c r="A9" s="1" t="s">
        <v>53</v>
      </c>
      <c r="B9" s="4">
        <v>46084.0</v>
      </c>
      <c r="C9" s="1" t="str">
        <f t="shared" si="1"/>
        <v>2026_03-03</v>
      </c>
      <c r="D9" s="1" t="s">
        <v>33</v>
      </c>
      <c r="E9" s="1" t="str">
        <f t="shared" si="2"/>
        <v>Beta Stores</v>
      </c>
      <c r="F9" s="1">
        <v>340000.0</v>
      </c>
      <c r="G9" s="1">
        <f>IFERROR(__xludf.DUMMYFUNCTION("filter(exchange_rates!$C$2:C$19,B9=exchange_rates!$A$2:$A$19, I9=exchange_rates!$B$2:$B$19)"),0.0121)</f>
        <v>0.0121</v>
      </c>
      <c r="H9" s="1">
        <f t="shared" si="3"/>
        <v>4114</v>
      </c>
      <c r="I9" s="1" t="s">
        <v>21</v>
      </c>
      <c r="J9" s="1" t="s">
        <v>29</v>
      </c>
      <c r="K9" s="1" t="str">
        <f t="shared" si="4"/>
        <v>Captured</v>
      </c>
      <c r="L9" s="1">
        <v>59.0</v>
      </c>
      <c r="M9" s="1">
        <f t="shared" si="5"/>
        <v>59</v>
      </c>
      <c r="O9" s="1" t="str">
        <f>IFERROR(__xludf.DUMMYFUNCTION("Filter(merchant_master!$E$2:$E$6,E9=merchant_master!$B$2:$B$6)"),"APAC")</f>
        <v>APAC</v>
      </c>
      <c r="P9" s="1" t="s">
        <v>54</v>
      </c>
      <c r="Q9" s="1" t="s">
        <v>26</v>
      </c>
    </row>
    <row r="10" ht="15.75" customHeight="1">
      <c r="A10" s="1" t="s">
        <v>55</v>
      </c>
      <c r="B10" s="4">
        <v>46084.0</v>
      </c>
      <c r="C10" s="1" t="str">
        <f t="shared" si="1"/>
        <v>2026_03-03</v>
      </c>
      <c r="D10" s="1" t="s">
        <v>43</v>
      </c>
      <c r="E10" s="1" t="str">
        <f t="shared" si="2"/>
        <v>Alpha Mart</v>
      </c>
      <c r="F10" s="1">
        <v>125000.0</v>
      </c>
      <c r="G10" s="1">
        <f>IFERROR(__xludf.DUMMYFUNCTION("filter(exchange_rates!$C$2:C$19,B10=exchange_rates!$A$2:$A$19, I10=exchange_rates!$B$2:$B$19)"),0.0121)</f>
        <v>0.0121</v>
      </c>
      <c r="H10" s="1">
        <f t="shared" si="3"/>
        <v>1512.5</v>
      </c>
      <c r="I10" s="1" t="s">
        <v>21</v>
      </c>
      <c r="J10" s="1" t="s">
        <v>22</v>
      </c>
      <c r="K10" s="1" t="str">
        <f t="shared" si="4"/>
        <v>Captured</v>
      </c>
      <c r="L10" s="1">
        <v>46.0</v>
      </c>
      <c r="M10" s="1">
        <f t="shared" si="5"/>
        <v>46</v>
      </c>
      <c r="N10" s="1" t="s">
        <v>24</v>
      </c>
      <c r="O10" s="1" t="str">
        <f>IFERROR(__xludf.DUMMYFUNCTION("Filter(merchant_master!$E$2:$E$6,E10=merchant_master!$B$2:$B$6)"),"APAC")</f>
        <v>APAC</v>
      </c>
      <c r="P10" s="1" t="s">
        <v>30</v>
      </c>
      <c r="Q10" s="1" t="s">
        <v>47</v>
      </c>
    </row>
    <row r="11" ht="15.75" customHeight="1">
      <c r="A11" s="1" t="s">
        <v>56</v>
      </c>
      <c r="B11" s="4">
        <v>46084.0</v>
      </c>
      <c r="C11" s="1" t="str">
        <f t="shared" si="1"/>
        <v>2026_03-03</v>
      </c>
      <c r="D11" s="1" t="s">
        <v>57</v>
      </c>
      <c r="E11" s="1" t="str">
        <f t="shared" si="2"/>
        <v>Beta Stores</v>
      </c>
      <c r="F11" s="1">
        <v>610000.0</v>
      </c>
      <c r="G11" s="1">
        <f>IFERROR(__xludf.DUMMYFUNCTION("filter(exchange_rates!$C$2:C$19,B11=exchange_rates!$A$2:$A$19, I11=exchange_rates!$B$2:$B$19)"),0.0121)</f>
        <v>0.0121</v>
      </c>
      <c r="H11" s="1">
        <f t="shared" si="3"/>
        <v>7381</v>
      </c>
      <c r="I11" s="1" t="s">
        <v>21</v>
      </c>
      <c r="J11" s="1" t="s">
        <v>22</v>
      </c>
      <c r="K11" s="1" t="str">
        <f t="shared" si="4"/>
        <v>Captured</v>
      </c>
      <c r="L11" s="1" t="s">
        <v>58</v>
      </c>
      <c r="M11" s="1">
        <f t="shared" si="5"/>
        <v>77</v>
      </c>
      <c r="O11" s="1" t="str">
        <f>IFERROR(__xludf.DUMMYFUNCTION("Filter(merchant_master!$E$2:$E$6,E11=merchant_master!$B$2:$B$6)"),"APAC")</f>
        <v>APAC</v>
      </c>
      <c r="P11" s="1" t="s">
        <v>35</v>
      </c>
      <c r="Q11" s="1" t="s">
        <v>31</v>
      </c>
    </row>
    <row r="12" ht="15.75" customHeight="1">
      <c r="A12" s="1" t="s">
        <v>59</v>
      </c>
      <c r="B12" s="4">
        <v>46084.0</v>
      </c>
      <c r="C12" s="1" t="str">
        <f t="shared" si="1"/>
        <v>2026_03-03</v>
      </c>
      <c r="D12" s="1" t="s">
        <v>49</v>
      </c>
      <c r="E12" s="1" t="str">
        <f t="shared" si="2"/>
        <v>Alpha Mart</v>
      </c>
      <c r="F12" s="1">
        <v>195000.0</v>
      </c>
      <c r="G12" s="1">
        <f>IFERROR(__xludf.DUMMYFUNCTION("filter(exchange_rates!$C$2:C$19,B12=exchange_rates!$A$2:$A$19, I12=exchange_rates!$B$2:$B$19)"),0.0121)</f>
        <v>0.0121</v>
      </c>
      <c r="H12" s="1">
        <f t="shared" si="3"/>
        <v>2359.5</v>
      </c>
      <c r="I12" s="1" t="s">
        <v>21</v>
      </c>
      <c r="J12" s="1" t="s">
        <v>60</v>
      </c>
      <c r="K12" s="1" t="str">
        <f t="shared" si="4"/>
        <v>Failed E05 Timeout</v>
      </c>
      <c r="M12" s="1" t="str">
        <f t="shared" si="5"/>
        <v>INVALID_OR_MISSING</v>
      </c>
      <c r="O12" s="1" t="str">
        <f>IFERROR(__xludf.DUMMYFUNCTION("Filter(merchant_master!$E$2:$E$6,E12=merchant_master!$B$2:$B$6)"),"APAC")</f>
        <v>APAC</v>
      </c>
      <c r="P12" s="1" t="s">
        <v>61</v>
      </c>
      <c r="Q12" s="1" t="s">
        <v>26</v>
      </c>
    </row>
    <row r="13" ht="15.75" customHeight="1">
      <c r="A13" s="1" t="s">
        <v>62</v>
      </c>
      <c r="B13" s="4">
        <v>46085.0</v>
      </c>
      <c r="C13" s="1" t="str">
        <f t="shared" si="1"/>
        <v>2026_03-04</v>
      </c>
      <c r="D13" s="1" t="s">
        <v>38</v>
      </c>
      <c r="E13" s="1" t="str">
        <f t="shared" si="2"/>
        <v>Beta Stores</v>
      </c>
      <c r="F13" s="1">
        <v>250000.0</v>
      </c>
      <c r="G13" s="1">
        <f>IFERROR(__xludf.DUMMYFUNCTION("filter(exchange_rates!$C$2:C$19,B13=exchange_rates!$A$2:$A$19, I13=exchange_rates!$B$2:$B$19)"),0.012)</f>
        <v>0.012</v>
      </c>
      <c r="H13" s="1">
        <f t="shared" si="3"/>
        <v>3000</v>
      </c>
      <c r="I13" s="1" t="s">
        <v>21</v>
      </c>
      <c r="J13" s="1" t="s">
        <v>22</v>
      </c>
      <c r="K13" s="1" t="str">
        <f t="shared" si="4"/>
        <v>Captured</v>
      </c>
      <c r="L13" s="1" t="s">
        <v>63</v>
      </c>
      <c r="M13" s="1">
        <f t="shared" si="5"/>
        <v>61</v>
      </c>
      <c r="N13" s="1" t="s">
        <v>24</v>
      </c>
      <c r="O13" s="1" t="str">
        <f>IFERROR(__xludf.DUMMYFUNCTION("Filter(merchant_master!$E$2:$E$6,E13=merchant_master!$B$2:$B$6)"),"APAC")</f>
        <v>APAC</v>
      </c>
      <c r="P13" s="1" t="s">
        <v>64</v>
      </c>
      <c r="Q13" s="1" t="s">
        <v>31</v>
      </c>
    </row>
    <row r="14" ht="15.75" customHeight="1">
      <c r="A14" s="1" t="s">
        <v>65</v>
      </c>
      <c r="B14" s="4">
        <v>46085.0</v>
      </c>
      <c r="C14" s="1" t="str">
        <f t="shared" si="1"/>
        <v>2026_03-04</v>
      </c>
      <c r="D14" s="1" t="s">
        <v>20</v>
      </c>
      <c r="E14" s="1" t="str">
        <f t="shared" si="2"/>
        <v>Alpha Mart</v>
      </c>
      <c r="F14" s="1">
        <v>310000.0</v>
      </c>
      <c r="G14" s="1">
        <f>IFERROR(__xludf.DUMMYFUNCTION("filter(exchange_rates!$C$2:C$19,B14=exchange_rates!$A$2:$A$19, I14=exchange_rates!$B$2:$B$19)"),0.012)</f>
        <v>0.012</v>
      </c>
      <c r="H14" s="1">
        <f t="shared" si="3"/>
        <v>3720</v>
      </c>
      <c r="I14" s="1" t="s">
        <v>21</v>
      </c>
      <c r="J14" s="1" t="s">
        <v>22</v>
      </c>
      <c r="K14" s="1" t="str">
        <f t="shared" si="4"/>
        <v>Captured</v>
      </c>
      <c r="L14" s="1" t="s">
        <v>66</v>
      </c>
      <c r="M14" s="1">
        <f t="shared" si="5"/>
        <v>54</v>
      </c>
      <c r="N14" s="1" t="s">
        <v>24</v>
      </c>
      <c r="O14" s="1" t="str">
        <f>IFERROR(__xludf.DUMMYFUNCTION("Filter(merchant_master!$E$2:$E$6,E14=merchant_master!$B$2:$B$6)"),"APAC")</f>
        <v>APAC</v>
      </c>
      <c r="P14" s="1" t="s">
        <v>67</v>
      </c>
      <c r="Q14" s="1" t="s">
        <v>26</v>
      </c>
    </row>
    <row r="15" ht="15.75" customHeight="1">
      <c r="A15" s="1" t="s">
        <v>68</v>
      </c>
      <c r="B15" s="4">
        <v>46085.0</v>
      </c>
      <c r="C15" s="1" t="str">
        <f t="shared" si="1"/>
        <v>2026_03-04</v>
      </c>
      <c r="D15" s="1" t="s">
        <v>38</v>
      </c>
      <c r="E15" s="1" t="str">
        <f t="shared" si="2"/>
        <v>Beta Stores</v>
      </c>
      <c r="F15" s="1">
        <v>470000.0</v>
      </c>
      <c r="G15" s="1">
        <f>IFERROR(__xludf.DUMMYFUNCTION("filter(exchange_rates!$C$2:C$19,B15=exchange_rates!$A$2:$A$19, I15=exchange_rates!$B$2:$B$19)"),0.012)</f>
        <v>0.012</v>
      </c>
      <c r="H15" s="1">
        <f t="shared" si="3"/>
        <v>5640</v>
      </c>
      <c r="I15" s="1" t="s">
        <v>21</v>
      </c>
      <c r="J15" s="1" t="s">
        <v>22</v>
      </c>
      <c r="K15" s="1" t="str">
        <f t="shared" si="4"/>
        <v>Captured</v>
      </c>
      <c r="L15" s="1" t="s">
        <v>69</v>
      </c>
      <c r="M15" s="1">
        <f t="shared" si="5"/>
        <v>73</v>
      </c>
      <c r="N15" s="1" t="s">
        <v>24</v>
      </c>
      <c r="O15" s="1" t="str">
        <f>IFERROR(__xludf.DUMMYFUNCTION("Filter(merchant_master!$E$2:$E$6,E15=merchant_master!$B$2:$B$6)"),"APAC")</f>
        <v>APAC</v>
      </c>
      <c r="P15" s="1" t="s">
        <v>25</v>
      </c>
      <c r="Q15" s="1" t="s">
        <v>36</v>
      </c>
    </row>
    <row r="16" ht="15.75" customHeight="1">
      <c r="A16" s="1" t="s">
        <v>70</v>
      </c>
      <c r="B16" s="4">
        <v>46085.0</v>
      </c>
      <c r="C16" s="1" t="str">
        <f t="shared" si="1"/>
        <v>2026_03-04</v>
      </c>
      <c r="D16" s="1" t="s">
        <v>43</v>
      </c>
      <c r="E16" s="1" t="str">
        <f t="shared" si="2"/>
        <v>Alpha Mart</v>
      </c>
      <c r="F16" s="1">
        <v>130000.0</v>
      </c>
      <c r="G16" s="1">
        <f>IFERROR(__xludf.DUMMYFUNCTION("filter(exchange_rates!$C$2:C$19,B16=exchange_rates!$A$2:$A$19, I16=exchange_rates!$B$2:$B$19)"),0.012)</f>
        <v>0.012</v>
      </c>
      <c r="H16" s="1">
        <f t="shared" si="3"/>
        <v>1560</v>
      </c>
      <c r="I16" s="1" t="s">
        <v>21</v>
      </c>
      <c r="J16" s="1" t="s">
        <v>22</v>
      </c>
      <c r="K16" s="1" t="str">
        <f t="shared" si="4"/>
        <v>Captured</v>
      </c>
      <c r="L16" s="1" t="s">
        <v>71</v>
      </c>
      <c r="M16" s="1">
        <f t="shared" si="5"/>
        <v>52</v>
      </c>
      <c r="O16" s="1" t="str">
        <f>IFERROR(__xludf.DUMMYFUNCTION("Filter(merchant_master!$E$2:$E$6,E16=merchant_master!$B$2:$B$6)"),"APAC")</f>
        <v>APAC</v>
      </c>
      <c r="P16" s="1" t="s">
        <v>30</v>
      </c>
      <c r="Q16" s="1" t="s">
        <v>31</v>
      </c>
    </row>
    <row r="17" ht="15.75" customHeight="1">
      <c r="A17" s="1" t="s">
        <v>72</v>
      </c>
      <c r="B17" s="4">
        <v>46086.0</v>
      </c>
      <c r="C17" s="1" t="str">
        <f t="shared" si="1"/>
        <v>2026_03-05</v>
      </c>
      <c r="D17" s="1" t="s">
        <v>38</v>
      </c>
      <c r="E17" s="1" t="str">
        <f t="shared" si="2"/>
        <v>Beta Stores</v>
      </c>
      <c r="F17" s="1">
        <v>220000.0</v>
      </c>
      <c r="G17" s="1">
        <f>IFERROR(__xludf.DUMMYFUNCTION("filter(exchange_rates!$C$2:C$19,B17=exchange_rates!$A$2:$A$19, I17=exchange_rates!$B$2:$B$19)"),0.0118)</f>
        <v>0.0118</v>
      </c>
      <c r="H17" s="1">
        <f t="shared" si="3"/>
        <v>2596</v>
      </c>
      <c r="I17" s="1" t="s">
        <v>21</v>
      </c>
      <c r="J17" s="1" t="s">
        <v>73</v>
      </c>
      <c r="K17" s="1" t="str">
        <f t="shared" si="4"/>
        <v>Failed E05 Timeout</v>
      </c>
      <c r="L17" s="1" t="s">
        <v>74</v>
      </c>
      <c r="M17" s="1">
        <f t="shared" si="5"/>
        <v>69</v>
      </c>
      <c r="O17" s="1" t="str">
        <f>IFERROR(__xludf.DUMMYFUNCTION("Filter(merchant_master!$E$2:$E$6,E17=merchant_master!$B$2:$B$6)"),"APAC")</f>
        <v>APAC</v>
      </c>
      <c r="P17" s="1" t="s">
        <v>61</v>
      </c>
      <c r="Q17" s="1" t="s">
        <v>31</v>
      </c>
    </row>
    <row r="18" ht="15.75" customHeight="1">
      <c r="A18" s="1" t="s">
        <v>75</v>
      </c>
      <c r="B18" s="4">
        <v>46086.0</v>
      </c>
      <c r="C18" s="1" t="str">
        <f t="shared" si="1"/>
        <v>2026_03-05</v>
      </c>
      <c r="D18" s="1" t="s">
        <v>38</v>
      </c>
      <c r="E18" s="1" t="str">
        <f t="shared" si="2"/>
        <v>Beta Stores</v>
      </c>
      <c r="F18" s="1">
        <v>180000.0</v>
      </c>
      <c r="G18" s="1">
        <f>IFERROR(__xludf.DUMMYFUNCTION("filter(exchange_rates!$C$2:C$19,B18=exchange_rates!$A$2:$A$19, I18=exchange_rates!$B$2:$B$19)"),0.0118)</f>
        <v>0.0118</v>
      </c>
      <c r="H18" s="1">
        <f t="shared" si="3"/>
        <v>2124</v>
      </c>
      <c r="I18" s="1" t="s">
        <v>21</v>
      </c>
      <c r="J18" s="1" t="s">
        <v>76</v>
      </c>
      <c r="K18" s="1" t="str">
        <f t="shared" si="4"/>
        <v>Failed E05 Timeout</v>
      </c>
      <c r="L18" s="1" t="s">
        <v>77</v>
      </c>
      <c r="M18" s="1">
        <f t="shared" si="5"/>
        <v>72</v>
      </c>
      <c r="N18" s="1" t="s">
        <v>40</v>
      </c>
      <c r="O18" s="1" t="str">
        <f>IFERROR(__xludf.DUMMYFUNCTION("Filter(merchant_master!$E$2:$E$6,E18=merchant_master!$B$2:$B$6)"),"APAC")</f>
        <v>APAC</v>
      </c>
      <c r="P18" s="1" t="s">
        <v>61</v>
      </c>
      <c r="Q18" s="1" t="s">
        <v>31</v>
      </c>
    </row>
    <row r="19" ht="15.75" customHeight="1">
      <c r="A19" s="1" t="s">
        <v>78</v>
      </c>
      <c r="B19" s="4">
        <v>46086.0</v>
      </c>
      <c r="C19" s="1" t="str">
        <f t="shared" si="1"/>
        <v>2026_03-05</v>
      </c>
      <c r="D19" s="1" t="s">
        <v>33</v>
      </c>
      <c r="E19" s="1" t="str">
        <f t="shared" si="2"/>
        <v>Beta Stores</v>
      </c>
      <c r="F19" s="1">
        <v>145000.0</v>
      </c>
      <c r="G19" s="1">
        <f>IFERROR(__xludf.DUMMYFUNCTION("filter(exchange_rates!$C$2:C$19,B19=exchange_rates!$A$2:$A$19, I19=exchange_rates!$B$2:$B$19)"),0.0118)</f>
        <v>0.0118</v>
      </c>
      <c r="H19" s="1">
        <f t="shared" si="3"/>
        <v>1711</v>
      </c>
      <c r="I19" s="1" t="s">
        <v>21</v>
      </c>
      <c r="J19" s="1" t="s">
        <v>50</v>
      </c>
      <c r="K19" s="1" t="str">
        <f t="shared" si="4"/>
        <v>Chargeback</v>
      </c>
      <c r="L19" s="1" t="s">
        <v>79</v>
      </c>
      <c r="M19" s="1">
        <f t="shared" si="5"/>
        <v>86</v>
      </c>
      <c r="N19" s="1" t="s">
        <v>24</v>
      </c>
      <c r="O19" s="1" t="str">
        <f>IFERROR(__xludf.DUMMYFUNCTION("Filter(merchant_master!$E$2:$E$6,E19=merchant_master!$B$2:$B$6)"),"APAC")</f>
        <v>APAC</v>
      </c>
      <c r="P19" s="1" t="s">
        <v>61</v>
      </c>
      <c r="Q19" s="1" t="s">
        <v>26</v>
      </c>
    </row>
    <row r="20" ht="15.75" customHeight="1">
      <c r="A20" s="1" t="s">
        <v>80</v>
      </c>
      <c r="B20" s="4">
        <v>46086.0</v>
      </c>
      <c r="C20" s="1" t="str">
        <f t="shared" si="1"/>
        <v>2026_03-05</v>
      </c>
      <c r="D20" s="1" t="s">
        <v>49</v>
      </c>
      <c r="E20" s="1" t="str">
        <f t="shared" si="2"/>
        <v>Alpha Mart</v>
      </c>
      <c r="F20" s="1">
        <v>260000.0</v>
      </c>
      <c r="G20" s="1">
        <f>IFERROR(__xludf.DUMMYFUNCTION("filter(exchange_rates!$C$2:C$19,B20=exchange_rates!$A$2:$A$19, I20=exchange_rates!$B$2:$B$19)"),0.0118)</f>
        <v>0.0118</v>
      </c>
      <c r="H20" s="1">
        <f t="shared" si="3"/>
        <v>3068</v>
      </c>
      <c r="I20" s="1" t="s">
        <v>21</v>
      </c>
      <c r="J20" s="1" t="s">
        <v>76</v>
      </c>
      <c r="K20" s="1" t="str">
        <f t="shared" si="4"/>
        <v>Failed E05 Timeout</v>
      </c>
      <c r="L20" s="1" t="s">
        <v>81</v>
      </c>
      <c r="M20" s="1">
        <f t="shared" si="5"/>
        <v>67</v>
      </c>
      <c r="N20" s="1" t="s">
        <v>40</v>
      </c>
      <c r="O20" s="1" t="str">
        <f>IFERROR(__xludf.DUMMYFUNCTION("Filter(merchant_master!$E$2:$E$6,E20=merchant_master!$B$2:$B$6)"),"APAC")</f>
        <v>APAC</v>
      </c>
      <c r="P20" s="1" t="s">
        <v>61</v>
      </c>
      <c r="Q20" s="1" t="s">
        <v>47</v>
      </c>
    </row>
    <row r="21" ht="15.75" customHeight="1">
      <c r="A21" s="1" t="s">
        <v>82</v>
      </c>
      <c r="B21" s="4">
        <v>46086.0</v>
      </c>
      <c r="C21" s="1" t="str">
        <f t="shared" si="1"/>
        <v>2026_03-05</v>
      </c>
      <c r="D21" s="1" t="s">
        <v>43</v>
      </c>
      <c r="E21" s="1" t="str">
        <f t="shared" si="2"/>
        <v>Alpha Mart</v>
      </c>
      <c r="F21" s="1">
        <v>520000.0</v>
      </c>
      <c r="G21" s="1">
        <f>IFERROR(__xludf.DUMMYFUNCTION("filter(exchange_rates!$C$2:C$19,B21=exchange_rates!$A$2:$A$19, I21=exchange_rates!$B$2:$B$19)"),0.0118)</f>
        <v>0.0118</v>
      </c>
      <c r="H21" s="1">
        <f t="shared" si="3"/>
        <v>6136</v>
      </c>
      <c r="I21" s="1" t="s">
        <v>21</v>
      </c>
      <c r="J21" s="1" t="s">
        <v>29</v>
      </c>
      <c r="K21" s="1" t="str">
        <f t="shared" si="4"/>
        <v>Captured</v>
      </c>
      <c r="L21" s="1">
        <v>75.0</v>
      </c>
      <c r="M21" s="1">
        <f t="shared" si="5"/>
        <v>75</v>
      </c>
      <c r="N21" s="1" t="s">
        <v>24</v>
      </c>
      <c r="O21" s="1" t="str">
        <f>IFERROR(__xludf.DUMMYFUNCTION("Filter(merchant_master!$E$2:$E$6,E21=merchant_master!$B$2:$B$6)"),"APAC")</f>
        <v>APAC</v>
      </c>
      <c r="P21" s="1" t="s">
        <v>46</v>
      </c>
      <c r="Q21" s="1" t="s">
        <v>26</v>
      </c>
    </row>
    <row r="22" ht="15.75" customHeight="1">
      <c r="A22" s="1" t="s">
        <v>83</v>
      </c>
      <c r="B22" s="4">
        <v>46087.0</v>
      </c>
      <c r="C22" s="1" t="str">
        <f t="shared" si="1"/>
        <v>2026_03-06</v>
      </c>
      <c r="D22" s="1" t="s">
        <v>84</v>
      </c>
      <c r="E22" s="1" t="str">
        <f t="shared" si="2"/>
        <v>Beta Stores</v>
      </c>
      <c r="F22" s="1">
        <v>330000.0</v>
      </c>
      <c r="G22" s="1">
        <f>IFERROR(__xludf.DUMMYFUNCTION("filter(exchange_rates!$C$2:C$19,B22=exchange_rates!$A$2:$A$19, I22=exchange_rates!$B$2:$B$19)"),0.0119)</f>
        <v>0.0119</v>
      </c>
      <c r="H22" s="1">
        <f t="shared" si="3"/>
        <v>3927</v>
      </c>
      <c r="I22" s="1" t="s">
        <v>21</v>
      </c>
      <c r="J22" s="1" t="s">
        <v>22</v>
      </c>
      <c r="K22" s="1" t="str">
        <f t="shared" si="4"/>
        <v>Captured</v>
      </c>
      <c r="L22" s="1" t="s">
        <v>85</v>
      </c>
      <c r="M22" s="1">
        <f t="shared" si="5"/>
        <v>63</v>
      </c>
      <c r="O22" s="1" t="str">
        <f>IFERROR(__xludf.DUMMYFUNCTION("Filter(merchant_master!$E$2:$E$6,E22=merchant_master!$B$2:$B$6)"),"APAC")</f>
        <v>APAC</v>
      </c>
      <c r="P22" s="1" t="s">
        <v>52</v>
      </c>
      <c r="Q22" s="1" t="s">
        <v>31</v>
      </c>
    </row>
    <row r="23" ht="15.75" customHeight="1">
      <c r="A23" s="1" t="s">
        <v>86</v>
      </c>
      <c r="B23" s="4">
        <v>46087.0</v>
      </c>
      <c r="C23" s="1" t="str">
        <f t="shared" si="1"/>
        <v>2026_03-06</v>
      </c>
      <c r="D23" s="1" t="s">
        <v>28</v>
      </c>
      <c r="E23" s="1" t="str">
        <f t="shared" si="2"/>
        <v>Alpha Mart</v>
      </c>
      <c r="F23" s="1">
        <v>410000.0</v>
      </c>
      <c r="G23" s="1">
        <f>IFERROR(__xludf.DUMMYFUNCTION("filter(exchange_rates!$C$2:C$19,B23=exchange_rates!$A$2:$A$19, I23=exchange_rates!$B$2:$B$19)"),0.0119)</f>
        <v>0.0119</v>
      </c>
      <c r="H23" s="1">
        <f t="shared" si="3"/>
        <v>4879</v>
      </c>
      <c r="I23" s="1" t="s">
        <v>21</v>
      </c>
      <c r="J23" s="1" t="s">
        <v>22</v>
      </c>
      <c r="K23" s="1" t="str">
        <f t="shared" si="4"/>
        <v>Captured</v>
      </c>
      <c r="L23" s="1">
        <v>60.0</v>
      </c>
      <c r="M23" s="1">
        <f t="shared" si="5"/>
        <v>60</v>
      </c>
      <c r="N23" s="1" t="s">
        <v>24</v>
      </c>
      <c r="O23" s="1" t="str">
        <f>IFERROR(__xludf.DUMMYFUNCTION("Filter(merchant_master!$E$2:$E$6,E23=merchant_master!$B$2:$B$6)"),"APAC")</f>
        <v>APAC</v>
      </c>
      <c r="P23" s="1" t="s">
        <v>54</v>
      </c>
      <c r="Q23" s="1" t="s">
        <v>26</v>
      </c>
    </row>
    <row r="24" ht="15.75" customHeight="1">
      <c r="A24" s="1" t="s">
        <v>87</v>
      </c>
      <c r="B24" s="4">
        <v>46082.0</v>
      </c>
      <c r="C24" s="1" t="str">
        <f t="shared" si="1"/>
        <v>2026_03-01</v>
      </c>
      <c r="D24" s="1" t="s">
        <v>88</v>
      </c>
      <c r="E24" s="1" t="str">
        <f t="shared" si="2"/>
        <v>City Pharma</v>
      </c>
      <c r="F24" s="1">
        <v>5200.0</v>
      </c>
      <c r="G24" s="1">
        <f>IFERROR(__xludf.DUMMYFUNCTION("filter(exchange_rates!$C$2:C$19,B24=exchange_rates!$A$2:$A$19, I24=exchange_rates!$B$2:$B$19)"),1.08)</f>
        <v>1.08</v>
      </c>
      <c r="H24" s="1">
        <f t="shared" si="3"/>
        <v>5616</v>
      </c>
      <c r="I24" s="1" t="s">
        <v>89</v>
      </c>
      <c r="J24" s="1" t="s">
        <v>29</v>
      </c>
      <c r="K24" s="1" t="str">
        <f t="shared" si="4"/>
        <v>Captured</v>
      </c>
      <c r="L24" s="1">
        <v>42.0</v>
      </c>
      <c r="M24" s="1">
        <f t="shared" si="5"/>
        <v>42</v>
      </c>
      <c r="N24" s="1" t="s">
        <v>90</v>
      </c>
      <c r="O24" s="1" t="str">
        <f>IFERROR(__xludf.DUMMYFUNCTION("Filter(merchant_master!$E$2:$E$6,E24=merchant_master!$B$2:$B$6)"),"EU")</f>
        <v>EU</v>
      </c>
      <c r="P24" s="1" t="s">
        <v>35</v>
      </c>
      <c r="Q24" s="1" t="s">
        <v>31</v>
      </c>
    </row>
    <row r="25" ht="15.75" customHeight="1">
      <c r="A25" s="1" t="s">
        <v>91</v>
      </c>
      <c r="B25" s="4">
        <v>46083.0</v>
      </c>
      <c r="C25" s="1" t="str">
        <f t="shared" si="1"/>
        <v>2026_03-02</v>
      </c>
      <c r="D25" s="1" t="s">
        <v>92</v>
      </c>
      <c r="E25" s="1" t="str">
        <f t="shared" si="2"/>
        <v>Eco Home</v>
      </c>
      <c r="F25" s="1">
        <v>6100.0</v>
      </c>
      <c r="G25" s="1">
        <f>IFERROR(__xludf.DUMMYFUNCTION("filter(exchange_rates!$C$2:C$19,B25=exchange_rates!$A$2:$A$19, I25=exchange_rates!$B$2:$B$19)"),1.09)</f>
        <v>1.09</v>
      </c>
      <c r="H25" s="1">
        <f t="shared" si="3"/>
        <v>6649</v>
      </c>
      <c r="I25" s="1" t="s">
        <v>89</v>
      </c>
      <c r="J25" s="1" t="s">
        <v>50</v>
      </c>
      <c r="K25" s="1" t="str">
        <f t="shared" si="4"/>
        <v>Chargeback</v>
      </c>
      <c r="L25" s="1" t="s">
        <v>93</v>
      </c>
      <c r="M25" s="1">
        <f t="shared" si="5"/>
        <v>65</v>
      </c>
      <c r="N25" s="1" t="s">
        <v>90</v>
      </c>
      <c r="O25" s="1" t="str">
        <f>IFERROR(__xludf.DUMMYFUNCTION("Filter(merchant_master!$E$2:$E$6,E25=merchant_master!$B$2:$B$6)"),"EU")</f>
        <v>EU</v>
      </c>
      <c r="P25" s="1" t="s">
        <v>41</v>
      </c>
      <c r="Q25" s="1" t="s">
        <v>31</v>
      </c>
    </row>
    <row r="26" ht="15.75" customHeight="1">
      <c r="A26" s="1" t="s">
        <v>94</v>
      </c>
      <c r="B26" s="4">
        <v>46084.0</v>
      </c>
      <c r="C26" s="1" t="str">
        <f t="shared" si="1"/>
        <v>2026_03-03</v>
      </c>
      <c r="D26" s="1" t="s">
        <v>88</v>
      </c>
      <c r="E26" s="1" t="str">
        <f t="shared" si="2"/>
        <v>City Pharma</v>
      </c>
      <c r="F26" s="1">
        <v>2800.0</v>
      </c>
      <c r="G26" s="1">
        <f>IFERROR(__xludf.DUMMYFUNCTION("filter(exchange_rates!$C$2:C$19,B26=exchange_rates!$A$2:$A$19, I26=exchange_rates!$B$2:$B$19)"),1.08)</f>
        <v>1.08</v>
      </c>
      <c r="H26" s="1">
        <f t="shared" si="3"/>
        <v>3024</v>
      </c>
      <c r="I26" s="1" t="s">
        <v>89</v>
      </c>
      <c r="J26" s="1" t="s">
        <v>22</v>
      </c>
      <c r="K26" s="1" t="str">
        <f t="shared" si="4"/>
        <v>Captured</v>
      </c>
      <c r="L26" s="1">
        <v>38.0</v>
      </c>
      <c r="M26" s="1">
        <f t="shared" si="5"/>
        <v>38</v>
      </c>
      <c r="N26" s="1" t="s">
        <v>95</v>
      </c>
      <c r="O26" s="1" t="str">
        <f>IFERROR(__xludf.DUMMYFUNCTION("Filter(merchant_master!$E$2:$E$6,E26=merchant_master!$B$2:$B$6)"),"EU")</f>
        <v>EU</v>
      </c>
      <c r="P26" s="1" t="s">
        <v>46</v>
      </c>
      <c r="Q26" s="1" t="s">
        <v>47</v>
      </c>
    </row>
    <row r="27" ht="15.75" customHeight="1">
      <c r="A27" s="1" t="s">
        <v>96</v>
      </c>
      <c r="B27" s="4">
        <v>46086.0</v>
      </c>
      <c r="C27" s="1" t="str">
        <f t="shared" si="1"/>
        <v>2026_03-05</v>
      </c>
      <c r="D27" s="1" t="s">
        <v>92</v>
      </c>
      <c r="E27" s="1" t="str">
        <f t="shared" si="2"/>
        <v>Eco Home</v>
      </c>
      <c r="F27" s="1">
        <v>3300.0</v>
      </c>
      <c r="G27" s="1">
        <f>IFERROR(__xludf.DUMMYFUNCTION("filter(exchange_rates!$C$2:C$19,B27=exchange_rates!$A$2:$A$19, I27=exchange_rates!$B$2:$B$19)"),1.09)</f>
        <v>1.09</v>
      </c>
      <c r="H27" s="1">
        <f t="shared" si="3"/>
        <v>3597</v>
      </c>
      <c r="I27" s="1" t="s">
        <v>89</v>
      </c>
      <c r="J27" s="1" t="s">
        <v>76</v>
      </c>
      <c r="K27" s="1" t="str">
        <f t="shared" si="4"/>
        <v>Failed E05 Timeout</v>
      </c>
      <c r="L27" s="1">
        <v>44.0</v>
      </c>
      <c r="M27" s="1">
        <f t="shared" si="5"/>
        <v>44</v>
      </c>
      <c r="N27" s="1" t="s">
        <v>90</v>
      </c>
      <c r="O27" s="1" t="str">
        <f>IFERROR(__xludf.DUMMYFUNCTION("Filter(merchant_master!$E$2:$E$6,E27=merchant_master!$B$2:$B$6)"),"EU")</f>
        <v>EU</v>
      </c>
      <c r="P27" s="1" t="s">
        <v>52</v>
      </c>
      <c r="Q27" s="1" t="s">
        <v>36</v>
      </c>
    </row>
    <row r="28" ht="15.75" customHeight="1">
      <c r="A28" s="1" t="s">
        <v>97</v>
      </c>
      <c r="B28" s="4">
        <v>46082.0</v>
      </c>
      <c r="C28" s="1" t="str">
        <f t="shared" si="1"/>
        <v>2026_03-01</v>
      </c>
      <c r="D28" s="1" t="s">
        <v>98</v>
      </c>
      <c r="E28" s="1" t="str">
        <f t="shared" si="2"/>
        <v>Delta Travels</v>
      </c>
      <c r="F28" s="1">
        <v>7200.0</v>
      </c>
      <c r="G28" s="1">
        <f>IFERROR(__xludf.DUMMYFUNCTION("filter(exchange_rates!$C$2:C$19,B28=exchange_rates!$A$2:$A$19, I28=exchange_rates!$B$2:$B$19)"),1.0)</f>
        <v>1</v>
      </c>
      <c r="H28" s="1">
        <f t="shared" si="3"/>
        <v>7200</v>
      </c>
      <c r="I28" s="1" t="s">
        <v>99</v>
      </c>
      <c r="J28" s="1" t="s">
        <v>22</v>
      </c>
      <c r="K28" s="1" t="str">
        <f t="shared" si="4"/>
        <v>Captured</v>
      </c>
      <c r="L28" s="1">
        <v>49.0</v>
      </c>
      <c r="M28" s="1">
        <f t="shared" si="5"/>
        <v>49</v>
      </c>
      <c r="N28" s="1" t="s">
        <v>100</v>
      </c>
      <c r="O28" s="1" t="str">
        <f>IFERROR(__xludf.DUMMYFUNCTION("Filter(merchant_master!$E$2:$E$6,E28=merchant_master!$B$2:$B$6)"),"US")</f>
        <v>US</v>
      </c>
      <c r="P28" s="1" t="s">
        <v>54</v>
      </c>
      <c r="Q28" s="1" t="s">
        <v>31</v>
      </c>
    </row>
    <row r="29" ht="15.75" customHeight="1">
      <c r="A29" s="1" t="s">
        <v>101</v>
      </c>
      <c r="B29" s="4">
        <v>46083.0</v>
      </c>
      <c r="C29" s="1" t="str">
        <f t="shared" si="1"/>
        <v>2026_03-02</v>
      </c>
      <c r="D29" s="1" t="s">
        <v>102</v>
      </c>
      <c r="E29" s="1" t="str">
        <f t="shared" si="2"/>
        <v>Delta Travels</v>
      </c>
      <c r="F29" s="1">
        <v>3100.0</v>
      </c>
      <c r="G29" s="1">
        <f>IFERROR(__xludf.DUMMYFUNCTION("filter(exchange_rates!$C$2:C$19,B29=exchange_rates!$A$2:$A$19, I29=exchange_rates!$B$2:$B$19)"),1.0)</f>
        <v>1</v>
      </c>
      <c r="H29" s="1">
        <f t="shared" si="3"/>
        <v>3100</v>
      </c>
      <c r="I29" s="1" t="s">
        <v>99</v>
      </c>
      <c r="J29" s="1" t="s">
        <v>34</v>
      </c>
      <c r="K29" s="1" t="str">
        <f t="shared" si="4"/>
        <v>Captured</v>
      </c>
      <c r="L29" s="1" t="s">
        <v>103</v>
      </c>
      <c r="M29" s="1">
        <f t="shared" si="5"/>
        <v>41</v>
      </c>
      <c r="N29" s="1" t="s">
        <v>104</v>
      </c>
      <c r="O29" s="1" t="str">
        <f>IFERROR(__xludf.DUMMYFUNCTION("Filter(merchant_master!$E$2:$E$6,E29=merchant_master!$B$2:$B$6)"),"US")</f>
        <v>US</v>
      </c>
      <c r="P29" s="1" t="s">
        <v>61</v>
      </c>
      <c r="Q29" s="1" t="s">
        <v>31</v>
      </c>
    </row>
    <row r="30" ht="15.75" customHeight="1">
      <c r="A30" s="1" t="s">
        <v>105</v>
      </c>
      <c r="B30" s="4">
        <v>46085.0</v>
      </c>
      <c r="C30" s="1" t="str">
        <f t="shared" si="1"/>
        <v>2026_03-04</v>
      </c>
      <c r="D30" s="1" t="s">
        <v>106</v>
      </c>
      <c r="E30" s="1" t="str">
        <f t="shared" si="2"/>
        <v>Delta Travels</v>
      </c>
      <c r="F30" s="1">
        <v>2500.0</v>
      </c>
      <c r="G30" s="1">
        <f>IFERROR(__xludf.DUMMYFUNCTION("filter(exchange_rates!$C$2:C$19,B30=exchange_rates!$A$2:$A$19, I30=exchange_rates!$B$2:$B$19)"),1.0)</f>
        <v>1</v>
      </c>
      <c r="H30" s="1">
        <f t="shared" si="3"/>
        <v>2500</v>
      </c>
      <c r="I30" s="1" t="s">
        <v>99</v>
      </c>
      <c r="J30" s="1" t="s">
        <v>50</v>
      </c>
      <c r="K30" s="1" t="str">
        <f t="shared" si="4"/>
        <v>Chargeback</v>
      </c>
      <c r="L30" s="1" t="s">
        <v>107</v>
      </c>
      <c r="M30" s="1">
        <f t="shared" si="5"/>
        <v>58</v>
      </c>
      <c r="N30" s="1" t="s">
        <v>104</v>
      </c>
      <c r="O30" s="1" t="str">
        <f>IFERROR(__xludf.DUMMYFUNCTION("Filter(merchant_master!$E$2:$E$6,E30=merchant_master!$B$2:$B$6)"),"US")</f>
        <v>US</v>
      </c>
      <c r="P30" s="1" t="s">
        <v>64</v>
      </c>
      <c r="Q30" s="1" t="s">
        <v>47</v>
      </c>
    </row>
    <row r="31" ht="15.75" customHeight="1">
      <c r="A31" s="1" t="s">
        <v>108</v>
      </c>
      <c r="B31" s="4">
        <v>46087.0</v>
      </c>
      <c r="C31" s="1" t="str">
        <f t="shared" si="1"/>
        <v>2026_03-06</v>
      </c>
      <c r="D31" s="1" t="s">
        <v>98</v>
      </c>
      <c r="E31" s="1" t="str">
        <f t="shared" si="2"/>
        <v>Delta Travels</v>
      </c>
      <c r="F31" s="1">
        <v>1800.0</v>
      </c>
      <c r="G31" s="1">
        <f>IFERROR(__xludf.DUMMYFUNCTION("filter(exchange_rates!$C$2:C$19,B31=exchange_rates!$A$2:$A$19, I31=exchange_rates!$B$2:$B$19)"),1.0)</f>
        <v>1</v>
      </c>
      <c r="H31" s="1">
        <f t="shared" si="3"/>
        <v>1800</v>
      </c>
      <c r="I31" s="1" t="s">
        <v>99</v>
      </c>
      <c r="J31" s="1" t="s">
        <v>76</v>
      </c>
      <c r="K31" s="1" t="str">
        <f t="shared" si="4"/>
        <v>Failed E05 Timeout</v>
      </c>
      <c r="L31" s="1" t="s">
        <v>109</v>
      </c>
      <c r="M31" s="1">
        <f t="shared" si="5"/>
        <v>47</v>
      </c>
      <c r="N31" s="1" t="s">
        <v>104</v>
      </c>
      <c r="O31" s="1" t="str">
        <f>IFERROR(__xludf.DUMMYFUNCTION("Filter(merchant_master!$E$2:$E$6,E31=merchant_master!$B$2:$B$6)"),"US")</f>
        <v>US</v>
      </c>
      <c r="P31" s="1" t="s">
        <v>67</v>
      </c>
      <c r="Q31" s="1" t="s">
        <v>26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2.88"/>
    <col customWidth="1" min="3" max="3" width="20.88"/>
    <col customWidth="1" min="4" max="4" width="16.25"/>
    <col customWidth="1" min="5" max="5" width="21.75"/>
    <col customWidth="1" min="6" max="6" width="12.63"/>
    <col customWidth="1" min="7" max="7" width="22.63"/>
    <col customWidth="1" min="8" max="8" width="17.75"/>
    <col customWidth="1" min="9" max="9" width="10.5"/>
    <col customWidth="1" min="10" max="10" width="18.0"/>
    <col customWidth="1" min="11" max="11" width="15.5"/>
    <col customWidth="1" min="13" max="13" width="19.0"/>
    <col customWidth="1" min="15" max="15" width="22.25"/>
    <col customWidth="1" min="17" max="17" width="17.25"/>
    <col customWidth="1" min="18" max="18" width="16.13"/>
    <col customWidth="1" min="19" max="19" width="14.75"/>
  </cols>
  <sheetData>
    <row r="1" ht="15.75" customHeight="1">
      <c r="A1" s="8" t="s">
        <v>0</v>
      </c>
      <c r="B1" s="8" t="s">
        <v>1</v>
      </c>
      <c r="C1" s="9" t="s">
        <v>2</v>
      </c>
      <c r="D1" s="8" t="s">
        <v>3</v>
      </c>
      <c r="E1" s="9" t="s">
        <v>4</v>
      </c>
      <c r="F1" s="8" t="s">
        <v>5</v>
      </c>
      <c r="G1" s="9" t="s">
        <v>6</v>
      </c>
      <c r="H1" s="9" t="s">
        <v>7</v>
      </c>
      <c r="I1" s="8" t="s">
        <v>8</v>
      </c>
      <c r="J1" s="8" t="s">
        <v>9</v>
      </c>
      <c r="K1" s="9" t="s">
        <v>10</v>
      </c>
      <c r="L1" s="8" t="s">
        <v>11</v>
      </c>
      <c r="M1" s="9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7" t="s">
        <v>17</v>
      </c>
      <c r="S1" s="7" t="s">
        <v>18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ht="15.75" customHeight="1">
      <c r="A2" s="1" t="s">
        <v>19</v>
      </c>
      <c r="B2" s="4">
        <v>46082.0</v>
      </c>
      <c r="C2" s="1" t="str">
        <f t="shared" ref="C2:C31" si="1">TEXT(if(or(B2="", B2="UNKNOWN", B2="ERROR"), "1900-01-01", B2), "YYYY_MM-DD")</f>
        <v>2026_03-01</v>
      </c>
      <c r="D2" s="1" t="s">
        <v>20</v>
      </c>
      <c r="E2" s="1" t="str">
        <f t="shared" ref="E2:E31" si="2">trim(if(OR(D2="", D2="ERROR", D2="UNKNOWN"), "INVALID_OR_MISSING", proper(D2)))</f>
        <v>Alpha Mart</v>
      </c>
      <c r="F2" s="1">
        <v>420000.0</v>
      </c>
      <c r="G2" s="1">
        <f>IFERROR(__xludf.DUMMYFUNCTION("filter(exchange_rates!$C$2:C$19,B2=exchange_rates!$A$2:$A$19, I2=exchange_rates!$B$2:$B$19)"),0.0119)</f>
        <v>0.0119</v>
      </c>
      <c r="H2" s="1">
        <f t="shared" ref="H2:H31" si="3">G2*F2</f>
        <v>4998</v>
      </c>
      <c r="I2" s="1" t="s">
        <v>21</v>
      </c>
      <c r="J2" s="1" t="s">
        <v>22</v>
      </c>
      <c r="K2" s="1" t="str">
        <f t="shared" ref="K2:K31" si="4">if(OR(J2="",J2 ="ERROR",J2 ="UNKNOWN"), "INVALID_OR_MISSING", proper(J2))</f>
        <v>Captured</v>
      </c>
      <c r="L2" s="1" t="s">
        <v>23</v>
      </c>
      <c r="M2" s="1">
        <f t="shared" ref="M2:M31" si="5">if(OR(L2="",L2 ="ERROR",L2 ="UNKNOWN"), "INVALID_OR_MISSING", value(RIGHT(L2, 2)))</f>
        <v>62</v>
      </c>
      <c r="N2" s="1" t="s">
        <v>24</v>
      </c>
      <c r="O2" s="1" t="str">
        <f>IFERROR(__xludf.DUMMYFUNCTION("Filter(merchant_master!$E$2:$E$6,E2=merchant_master!$B$2:$B$6)"),"APAC")</f>
        <v>APAC</v>
      </c>
      <c r="P2" s="1" t="s">
        <v>25</v>
      </c>
      <c r="Q2" s="1" t="s">
        <v>26</v>
      </c>
      <c r="R2" s="5">
        <f t="shared" ref="R2:R31" si="6">if(OR(AND(O2="APAC", H2&gt;5000), AND(O2="EU", H2&gt;6000), AND(O2="US", H2&gt;7000)), 1, 0)</f>
        <v>0</v>
      </c>
      <c r="S2" s="5">
        <f t="shared" ref="S2:S31" si="7">if(OR(ISNUMBER(SEARCH("chargeback",K2)), AND(ISNUMBER(M2), M2 &gt;= 70)), 1, 0)</f>
        <v>0</v>
      </c>
    </row>
    <row r="3" ht="15.75" customHeight="1">
      <c r="A3" s="1" t="s">
        <v>27</v>
      </c>
      <c r="B3" s="4">
        <v>46082.0</v>
      </c>
      <c r="C3" s="1" t="str">
        <f t="shared" si="1"/>
        <v>2026_03-01</v>
      </c>
      <c r="D3" s="1" t="s">
        <v>28</v>
      </c>
      <c r="E3" s="1" t="str">
        <f t="shared" si="2"/>
        <v>Alpha Mart</v>
      </c>
      <c r="F3" s="1">
        <v>210000.0</v>
      </c>
      <c r="G3" s="1">
        <f>IFERROR(__xludf.DUMMYFUNCTION("filter(exchange_rates!$C$2:C$19,B3=exchange_rates!$A$2:$A$19, I3=exchange_rates!$B$2:$B$19)"),0.0119)</f>
        <v>0.0119</v>
      </c>
      <c r="H3" s="1">
        <f t="shared" si="3"/>
        <v>2499</v>
      </c>
      <c r="I3" s="1" t="s">
        <v>21</v>
      </c>
      <c r="J3" s="1" t="s">
        <v>29</v>
      </c>
      <c r="K3" s="1" t="str">
        <f t="shared" si="4"/>
        <v>Captured</v>
      </c>
      <c r="L3" s="1">
        <v>55.0</v>
      </c>
      <c r="M3" s="1">
        <f t="shared" si="5"/>
        <v>55</v>
      </c>
      <c r="O3" s="1" t="str">
        <f>IFERROR(__xludf.DUMMYFUNCTION("Filter(merchant_master!$E$2:$E$6,E3=merchant_master!$B$2:$B$6)"),"APAC")</f>
        <v>APAC</v>
      </c>
      <c r="P3" s="1" t="s">
        <v>30</v>
      </c>
      <c r="Q3" s="1" t="s">
        <v>31</v>
      </c>
      <c r="R3" s="5">
        <f t="shared" si="6"/>
        <v>0</v>
      </c>
      <c r="S3" s="5">
        <f t="shared" si="7"/>
        <v>0</v>
      </c>
    </row>
    <row r="4" ht="15.75" customHeight="1">
      <c r="A4" s="1" t="s">
        <v>32</v>
      </c>
      <c r="B4" s="4">
        <v>46082.0</v>
      </c>
      <c r="C4" s="1" t="str">
        <f t="shared" si="1"/>
        <v>2026_03-01</v>
      </c>
      <c r="D4" s="1" t="s">
        <v>33</v>
      </c>
      <c r="E4" s="1" t="str">
        <f t="shared" si="2"/>
        <v>Beta Stores</v>
      </c>
      <c r="F4" s="1">
        <v>510000.0</v>
      </c>
      <c r="G4" s="1">
        <f>IFERROR(__xludf.DUMMYFUNCTION("filter(exchange_rates!$C$2:C$19,B4=exchange_rates!$A$2:$A$19, I4=exchange_rates!$B$2:$B$19)"),0.0119)</f>
        <v>0.0119</v>
      </c>
      <c r="H4" s="1">
        <f t="shared" si="3"/>
        <v>6069</v>
      </c>
      <c r="I4" s="1" t="s">
        <v>21</v>
      </c>
      <c r="J4" s="1" t="s">
        <v>34</v>
      </c>
      <c r="K4" s="1" t="str">
        <f t="shared" si="4"/>
        <v>Captured</v>
      </c>
      <c r="L4" s="1">
        <v>71.0</v>
      </c>
      <c r="M4" s="1">
        <f t="shared" si="5"/>
        <v>71</v>
      </c>
      <c r="N4" s="1" t="s">
        <v>24</v>
      </c>
      <c r="O4" s="1" t="str">
        <f>IFERROR(__xludf.DUMMYFUNCTION("Filter(merchant_master!$E$2:$E$6,E4=merchant_master!$B$2:$B$6)"),"APAC")</f>
        <v>APAC</v>
      </c>
      <c r="P4" s="1" t="s">
        <v>35</v>
      </c>
      <c r="Q4" s="1" t="s">
        <v>36</v>
      </c>
      <c r="R4" s="5">
        <f t="shared" si="6"/>
        <v>1</v>
      </c>
      <c r="S4" s="5">
        <f t="shared" si="7"/>
        <v>1</v>
      </c>
    </row>
    <row r="5" ht="15.75" customHeight="1">
      <c r="A5" s="1" t="s">
        <v>37</v>
      </c>
      <c r="B5" s="4">
        <v>46083.0</v>
      </c>
      <c r="C5" s="1" t="str">
        <f t="shared" si="1"/>
        <v>2026_03-02</v>
      </c>
      <c r="D5" s="1" t="s">
        <v>38</v>
      </c>
      <c r="E5" s="1" t="str">
        <f t="shared" si="2"/>
        <v>Beta Stores</v>
      </c>
      <c r="F5" s="1">
        <v>160000.0</v>
      </c>
      <c r="G5" s="1">
        <f>IFERROR(__xludf.DUMMYFUNCTION("filter(exchange_rates!$C$2:C$19,B5=exchange_rates!$A$2:$A$19, I5=exchange_rates!$B$2:$B$19)"),0.012)</f>
        <v>0.012</v>
      </c>
      <c r="H5" s="1">
        <f t="shared" si="3"/>
        <v>1920</v>
      </c>
      <c r="I5" s="1" t="s">
        <v>21</v>
      </c>
      <c r="J5" s="1" t="s">
        <v>39</v>
      </c>
      <c r="K5" s="1" t="str">
        <f t="shared" si="4"/>
        <v>Failed E05 Timeout</v>
      </c>
      <c r="L5" s="1">
        <v>68.0</v>
      </c>
      <c r="M5" s="1">
        <f t="shared" si="5"/>
        <v>68</v>
      </c>
      <c r="N5" s="1" t="s">
        <v>40</v>
      </c>
      <c r="O5" s="1" t="str">
        <f>IFERROR(__xludf.DUMMYFUNCTION("Filter(merchant_master!$E$2:$E$6,E5=merchant_master!$B$2:$B$6)"),"APAC")</f>
        <v>APAC</v>
      </c>
      <c r="P5" s="1" t="s">
        <v>41</v>
      </c>
      <c r="Q5" s="1" t="s">
        <v>31</v>
      </c>
      <c r="R5" s="5">
        <f t="shared" si="6"/>
        <v>0</v>
      </c>
      <c r="S5" s="5">
        <f t="shared" si="7"/>
        <v>0</v>
      </c>
    </row>
    <row r="6" ht="15.75" customHeight="1">
      <c r="A6" s="1" t="s">
        <v>42</v>
      </c>
      <c r="B6" s="4">
        <v>46083.0</v>
      </c>
      <c r="C6" s="1" t="str">
        <f t="shared" si="1"/>
        <v>2026_03-02</v>
      </c>
      <c r="D6" s="1" t="s">
        <v>43</v>
      </c>
      <c r="E6" s="1" t="str">
        <f t="shared" si="2"/>
        <v>Alpha Mart</v>
      </c>
      <c r="F6" s="1">
        <v>390000.0</v>
      </c>
      <c r="G6" s="1">
        <f>IFERROR(__xludf.DUMMYFUNCTION("filter(exchange_rates!$C$2:C$19,B6=exchange_rates!$A$2:$A$19, I6=exchange_rates!$B$2:$B$19)"),0.012)</f>
        <v>0.012</v>
      </c>
      <c r="H6" s="1">
        <f t="shared" si="3"/>
        <v>4680</v>
      </c>
      <c r="I6" s="1" t="s">
        <v>21</v>
      </c>
      <c r="J6" s="1" t="s">
        <v>34</v>
      </c>
      <c r="K6" s="1" t="str">
        <f t="shared" si="4"/>
        <v>Captured</v>
      </c>
      <c r="L6" s="1">
        <v>58.0</v>
      </c>
      <c r="M6" s="1">
        <f t="shared" si="5"/>
        <v>58</v>
      </c>
      <c r="O6" s="1" t="str">
        <f>IFERROR(__xludf.DUMMYFUNCTION("Filter(merchant_master!$E$2:$E$6,E6=merchant_master!$B$2:$B$6)"),"APAC")</f>
        <v>APAC</v>
      </c>
      <c r="P6" s="1" t="s">
        <v>25</v>
      </c>
      <c r="Q6" s="1" t="s">
        <v>26</v>
      </c>
      <c r="R6" s="5">
        <f t="shared" si="6"/>
        <v>0</v>
      </c>
      <c r="S6" s="5">
        <f t="shared" si="7"/>
        <v>0</v>
      </c>
    </row>
    <row r="7" ht="15.75" customHeight="1">
      <c r="A7" s="1" t="s">
        <v>44</v>
      </c>
      <c r="B7" s="4">
        <v>46083.0</v>
      </c>
      <c r="C7" s="1" t="str">
        <f t="shared" si="1"/>
        <v>2026_03-02</v>
      </c>
      <c r="D7" s="1" t="s">
        <v>38</v>
      </c>
      <c r="E7" s="1" t="str">
        <f t="shared" si="2"/>
        <v>Beta Stores</v>
      </c>
      <c r="F7" s="1">
        <v>275000.0</v>
      </c>
      <c r="G7" s="1">
        <f>IFERROR(__xludf.DUMMYFUNCTION("filter(exchange_rates!$C$2:C$19,B7=exchange_rates!$A$2:$A$19, I7=exchange_rates!$B$2:$B$19)"),0.012)</f>
        <v>0.012</v>
      </c>
      <c r="H7" s="1">
        <f t="shared" si="3"/>
        <v>3300</v>
      </c>
      <c r="I7" s="1" t="s">
        <v>21</v>
      </c>
      <c r="J7" s="1" t="s">
        <v>29</v>
      </c>
      <c r="K7" s="1" t="str">
        <f t="shared" si="4"/>
        <v>Captured</v>
      </c>
      <c r="L7" s="1" t="s">
        <v>45</v>
      </c>
      <c r="M7" s="1">
        <f t="shared" si="5"/>
        <v>64</v>
      </c>
      <c r="O7" s="1" t="str">
        <f>IFERROR(__xludf.DUMMYFUNCTION("Filter(merchant_master!$E$2:$E$6,E7=merchant_master!$B$2:$B$6)"),"APAC")</f>
        <v>APAC</v>
      </c>
      <c r="P7" s="1" t="s">
        <v>46</v>
      </c>
      <c r="Q7" s="1" t="s">
        <v>47</v>
      </c>
      <c r="R7" s="5">
        <f t="shared" si="6"/>
        <v>0</v>
      </c>
      <c r="S7" s="5">
        <f t="shared" si="7"/>
        <v>0</v>
      </c>
    </row>
    <row r="8" ht="15.75" customHeight="1">
      <c r="A8" s="1" t="s">
        <v>48</v>
      </c>
      <c r="B8" s="4">
        <v>46083.0</v>
      </c>
      <c r="C8" s="1" t="str">
        <f t="shared" si="1"/>
        <v>2026_03-02</v>
      </c>
      <c r="D8" s="1" t="s">
        <v>49</v>
      </c>
      <c r="E8" s="1" t="str">
        <f t="shared" si="2"/>
        <v>Alpha Mart</v>
      </c>
      <c r="F8" s="1">
        <v>450000.0</v>
      </c>
      <c r="G8" s="1">
        <f>IFERROR(__xludf.DUMMYFUNCTION("filter(exchange_rates!$C$2:C$19,B8=exchange_rates!$A$2:$A$19, I8=exchange_rates!$B$2:$B$19)"),0.012)</f>
        <v>0.012</v>
      </c>
      <c r="H8" s="1">
        <f t="shared" si="3"/>
        <v>5400</v>
      </c>
      <c r="I8" s="1" t="s">
        <v>21</v>
      </c>
      <c r="J8" s="1" t="s">
        <v>50</v>
      </c>
      <c r="K8" s="1" t="str">
        <f t="shared" si="4"/>
        <v>Chargeback</v>
      </c>
      <c r="L8" s="1" t="s">
        <v>51</v>
      </c>
      <c r="M8" s="1">
        <f t="shared" si="5"/>
        <v>83</v>
      </c>
      <c r="N8" s="1" t="s">
        <v>24</v>
      </c>
      <c r="O8" s="1" t="str">
        <f>IFERROR(__xludf.DUMMYFUNCTION("Filter(merchant_master!$E$2:$E$6,E8=merchant_master!$B$2:$B$6)"),"APAC")</f>
        <v>APAC</v>
      </c>
      <c r="P8" s="1" t="s">
        <v>52</v>
      </c>
      <c r="Q8" s="1" t="s">
        <v>31</v>
      </c>
      <c r="R8" s="5">
        <f t="shared" si="6"/>
        <v>1</v>
      </c>
      <c r="S8" s="5">
        <f t="shared" si="7"/>
        <v>1</v>
      </c>
    </row>
    <row r="9" ht="15.75" customHeight="1">
      <c r="A9" s="1" t="s">
        <v>53</v>
      </c>
      <c r="B9" s="4">
        <v>46084.0</v>
      </c>
      <c r="C9" s="1" t="str">
        <f t="shared" si="1"/>
        <v>2026_03-03</v>
      </c>
      <c r="D9" s="1" t="s">
        <v>33</v>
      </c>
      <c r="E9" s="1" t="str">
        <f t="shared" si="2"/>
        <v>Beta Stores</v>
      </c>
      <c r="F9" s="1">
        <v>340000.0</v>
      </c>
      <c r="G9" s="1">
        <f>IFERROR(__xludf.DUMMYFUNCTION("filter(exchange_rates!$C$2:C$19,B9=exchange_rates!$A$2:$A$19, I9=exchange_rates!$B$2:$B$19)"),0.0121)</f>
        <v>0.0121</v>
      </c>
      <c r="H9" s="1">
        <f t="shared" si="3"/>
        <v>4114</v>
      </c>
      <c r="I9" s="1" t="s">
        <v>21</v>
      </c>
      <c r="J9" s="1" t="s">
        <v>29</v>
      </c>
      <c r="K9" s="1" t="str">
        <f t="shared" si="4"/>
        <v>Captured</v>
      </c>
      <c r="L9" s="1">
        <v>59.0</v>
      </c>
      <c r="M9" s="1">
        <f t="shared" si="5"/>
        <v>59</v>
      </c>
      <c r="O9" s="1" t="str">
        <f>IFERROR(__xludf.DUMMYFUNCTION("Filter(merchant_master!$E$2:$E$6,E9=merchant_master!$B$2:$B$6)"),"APAC")</f>
        <v>APAC</v>
      </c>
      <c r="P9" s="1" t="s">
        <v>54</v>
      </c>
      <c r="Q9" s="1" t="s">
        <v>26</v>
      </c>
      <c r="R9" s="5">
        <f t="shared" si="6"/>
        <v>0</v>
      </c>
      <c r="S9" s="5">
        <f t="shared" si="7"/>
        <v>0</v>
      </c>
    </row>
    <row r="10" ht="15.75" customHeight="1">
      <c r="A10" s="1" t="s">
        <v>55</v>
      </c>
      <c r="B10" s="4">
        <v>46084.0</v>
      </c>
      <c r="C10" s="1" t="str">
        <f t="shared" si="1"/>
        <v>2026_03-03</v>
      </c>
      <c r="D10" s="1" t="s">
        <v>43</v>
      </c>
      <c r="E10" s="1" t="str">
        <f t="shared" si="2"/>
        <v>Alpha Mart</v>
      </c>
      <c r="F10" s="1">
        <v>125000.0</v>
      </c>
      <c r="G10" s="1">
        <f>IFERROR(__xludf.DUMMYFUNCTION("filter(exchange_rates!$C$2:C$19,B10=exchange_rates!$A$2:$A$19, I10=exchange_rates!$B$2:$B$19)"),0.0121)</f>
        <v>0.0121</v>
      </c>
      <c r="H10" s="1">
        <f t="shared" si="3"/>
        <v>1512.5</v>
      </c>
      <c r="I10" s="1" t="s">
        <v>21</v>
      </c>
      <c r="J10" s="1" t="s">
        <v>22</v>
      </c>
      <c r="K10" s="1" t="str">
        <f t="shared" si="4"/>
        <v>Captured</v>
      </c>
      <c r="L10" s="1">
        <v>46.0</v>
      </c>
      <c r="M10" s="1">
        <f t="shared" si="5"/>
        <v>46</v>
      </c>
      <c r="N10" s="1" t="s">
        <v>24</v>
      </c>
      <c r="O10" s="1" t="str">
        <f>IFERROR(__xludf.DUMMYFUNCTION("Filter(merchant_master!$E$2:$E$6,E10=merchant_master!$B$2:$B$6)"),"APAC")</f>
        <v>APAC</v>
      </c>
      <c r="P10" s="1" t="s">
        <v>30</v>
      </c>
      <c r="Q10" s="1" t="s">
        <v>47</v>
      </c>
      <c r="R10" s="5">
        <f t="shared" si="6"/>
        <v>0</v>
      </c>
      <c r="S10" s="5">
        <f t="shared" si="7"/>
        <v>0</v>
      </c>
    </row>
    <row r="11" ht="15.75" customHeight="1">
      <c r="A11" s="1" t="s">
        <v>56</v>
      </c>
      <c r="B11" s="4">
        <v>46084.0</v>
      </c>
      <c r="C11" s="1" t="str">
        <f t="shared" si="1"/>
        <v>2026_03-03</v>
      </c>
      <c r="D11" s="1" t="s">
        <v>57</v>
      </c>
      <c r="E11" s="1" t="str">
        <f t="shared" si="2"/>
        <v>Beta Stores</v>
      </c>
      <c r="F11" s="1">
        <v>610000.0</v>
      </c>
      <c r="G11" s="1">
        <f>IFERROR(__xludf.DUMMYFUNCTION("filter(exchange_rates!$C$2:C$19,B11=exchange_rates!$A$2:$A$19, I11=exchange_rates!$B$2:$B$19)"),0.0121)</f>
        <v>0.0121</v>
      </c>
      <c r="H11" s="1">
        <f t="shared" si="3"/>
        <v>7381</v>
      </c>
      <c r="I11" s="1" t="s">
        <v>21</v>
      </c>
      <c r="J11" s="1" t="s">
        <v>22</v>
      </c>
      <c r="K11" s="1" t="str">
        <f t="shared" si="4"/>
        <v>Captured</v>
      </c>
      <c r="L11" s="1" t="s">
        <v>58</v>
      </c>
      <c r="M11" s="1">
        <f t="shared" si="5"/>
        <v>77</v>
      </c>
      <c r="O11" s="1" t="str">
        <f>IFERROR(__xludf.DUMMYFUNCTION("Filter(merchant_master!$E$2:$E$6,E11=merchant_master!$B$2:$B$6)"),"APAC")</f>
        <v>APAC</v>
      </c>
      <c r="P11" s="1" t="s">
        <v>35</v>
      </c>
      <c r="Q11" s="1" t="s">
        <v>31</v>
      </c>
      <c r="R11" s="5">
        <f t="shared" si="6"/>
        <v>1</v>
      </c>
      <c r="S11" s="5">
        <f t="shared" si="7"/>
        <v>1</v>
      </c>
    </row>
    <row r="12" ht="15.75" customHeight="1">
      <c r="A12" s="1" t="s">
        <v>59</v>
      </c>
      <c r="B12" s="4">
        <v>46084.0</v>
      </c>
      <c r="C12" s="1" t="str">
        <f t="shared" si="1"/>
        <v>2026_03-03</v>
      </c>
      <c r="D12" s="1" t="s">
        <v>49</v>
      </c>
      <c r="E12" s="1" t="str">
        <f t="shared" si="2"/>
        <v>Alpha Mart</v>
      </c>
      <c r="F12" s="1">
        <v>195000.0</v>
      </c>
      <c r="G12" s="1">
        <f>IFERROR(__xludf.DUMMYFUNCTION("filter(exchange_rates!$C$2:C$19,B12=exchange_rates!$A$2:$A$19, I12=exchange_rates!$B$2:$B$19)"),0.0121)</f>
        <v>0.0121</v>
      </c>
      <c r="H12" s="1">
        <f t="shared" si="3"/>
        <v>2359.5</v>
      </c>
      <c r="I12" s="1" t="s">
        <v>21</v>
      </c>
      <c r="J12" s="1" t="s">
        <v>60</v>
      </c>
      <c r="K12" s="1" t="str">
        <f t="shared" si="4"/>
        <v>Failed E05 Timeout</v>
      </c>
      <c r="M12" s="1" t="str">
        <f t="shared" si="5"/>
        <v>INVALID_OR_MISSING</v>
      </c>
      <c r="O12" s="1" t="str">
        <f>IFERROR(__xludf.DUMMYFUNCTION("Filter(merchant_master!$E$2:$E$6,E12=merchant_master!$B$2:$B$6)"),"APAC")</f>
        <v>APAC</v>
      </c>
      <c r="P12" s="1" t="s">
        <v>61</v>
      </c>
      <c r="Q12" s="1" t="s">
        <v>26</v>
      </c>
      <c r="R12" s="5">
        <f t="shared" si="6"/>
        <v>0</v>
      </c>
      <c r="S12" s="5">
        <f t="shared" si="7"/>
        <v>0</v>
      </c>
    </row>
    <row r="13" ht="15.75" customHeight="1">
      <c r="A13" s="1" t="s">
        <v>62</v>
      </c>
      <c r="B13" s="4">
        <v>46085.0</v>
      </c>
      <c r="C13" s="1" t="str">
        <f t="shared" si="1"/>
        <v>2026_03-04</v>
      </c>
      <c r="D13" s="1" t="s">
        <v>38</v>
      </c>
      <c r="E13" s="1" t="str">
        <f t="shared" si="2"/>
        <v>Beta Stores</v>
      </c>
      <c r="F13" s="1">
        <v>250000.0</v>
      </c>
      <c r="G13" s="1">
        <f>IFERROR(__xludf.DUMMYFUNCTION("filter(exchange_rates!$C$2:C$19,B13=exchange_rates!$A$2:$A$19, I13=exchange_rates!$B$2:$B$19)"),0.012)</f>
        <v>0.012</v>
      </c>
      <c r="H13" s="1">
        <f t="shared" si="3"/>
        <v>3000</v>
      </c>
      <c r="I13" s="1" t="s">
        <v>21</v>
      </c>
      <c r="J13" s="1" t="s">
        <v>22</v>
      </c>
      <c r="K13" s="1" t="str">
        <f t="shared" si="4"/>
        <v>Captured</v>
      </c>
      <c r="L13" s="1" t="s">
        <v>63</v>
      </c>
      <c r="M13" s="1">
        <f t="shared" si="5"/>
        <v>61</v>
      </c>
      <c r="N13" s="1" t="s">
        <v>24</v>
      </c>
      <c r="O13" s="1" t="str">
        <f>IFERROR(__xludf.DUMMYFUNCTION("Filter(merchant_master!$E$2:$E$6,E13=merchant_master!$B$2:$B$6)"),"APAC")</f>
        <v>APAC</v>
      </c>
      <c r="P13" s="1" t="s">
        <v>64</v>
      </c>
      <c r="Q13" s="1" t="s">
        <v>31</v>
      </c>
      <c r="R13" s="5">
        <f t="shared" si="6"/>
        <v>0</v>
      </c>
      <c r="S13" s="5">
        <f t="shared" si="7"/>
        <v>0</v>
      </c>
    </row>
    <row r="14" ht="15.75" customHeight="1">
      <c r="A14" s="1" t="s">
        <v>65</v>
      </c>
      <c r="B14" s="4">
        <v>46085.0</v>
      </c>
      <c r="C14" s="1" t="str">
        <f t="shared" si="1"/>
        <v>2026_03-04</v>
      </c>
      <c r="D14" s="1" t="s">
        <v>20</v>
      </c>
      <c r="E14" s="1" t="str">
        <f t="shared" si="2"/>
        <v>Alpha Mart</v>
      </c>
      <c r="F14" s="1">
        <v>310000.0</v>
      </c>
      <c r="G14" s="1">
        <f>IFERROR(__xludf.DUMMYFUNCTION("filter(exchange_rates!$C$2:C$19,B14=exchange_rates!$A$2:$A$19, I14=exchange_rates!$B$2:$B$19)"),0.012)</f>
        <v>0.012</v>
      </c>
      <c r="H14" s="1">
        <f t="shared" si="3"/>
        <v>3720</v>
      </c>
      <c r="I14" s="1" t="s">
        <v>21</v>
      </c>
      <c r="J14" s="1" t="s">
        <v>22</v>
      </c>
      <c r="K14" s="1" t="str">
        <f t="shared" si="4"/>
        <v>Captured</v>
      </c>
      <c r="L14" s="1" t="s">
        <v>66</v>
      </c>
      <c r="M14" s="1">
        <f t="shared" si="5"/>
        <v>54</v>
      </c>
      <c r="N14" s="1" t="s">
        <v>24</v>
      </c>
      <c r="O14" s="1" t="str">
        <f>IFERROR(__xludf.DUMMYFUNCTION("Filter(merchant_master!$E$2:$E$6,E14=merchant_master!$B$2:$B$6)"),"APAC")</f>
        <v>APAC</v>
      </c>
      <c r="P14" s="1" t="s">
        <v>67</v>
      </c>
      <c r="Q14" s="1" t="s">
        <v>26</v>
      </c>
      <c r="R14" s="5">
        <f t="shared" si="6"/>
        <v>0</v>
      </c>
      <c r="S14" s="5">
        <f t="shared" si="7"/>
        <v>0</v>
      </c>
    </row>
    <row r="15" ht="15.75" customHeight="1">
      <c r="A15" s="1" t="s">
        <v>68</v>
      </c>
      <c r="B15" s="4">
        <v>46085.0</v>
      </c>
      <c r="C15" s="1" t="str">
        <f t="shared" si="1"/>
        <v>2026_03-04</v>
      </c>
      <c r="D15" s="1" t="s">
        <v>38</v>
      </c>
      <c r="E15" s="1" t="str">
        <f t="shared" si="2"/>
        <v>Beta Stores</v>
      </c>
      <c r="F15" s="1">
        <v>470000.0</v>
      </c>
      <c r="G15" s="1">
        <f>IFERROR(__xludf.DUMMYFUNCTION("filter(exchange_rates!$C$2:C$19,B15=exchange_rates!$A$2:$A$19, I15=exchange_rates!$B$2:$B$19)"),0.012)</f>
        <v>0.012</v>
      </c>
      <c r="H15" s="1">
        <f t="shared" si="3"/>
        <v>5640</v>
      </c>
      <c r="I15" s="1" t="s">
        <v>21</v>
      </c>
      <c r="J15" s="1" t="s">
        <v>22</v>
      </c>
      <c r="K15" s="1" t="str">
        <f t="shared" si="4"/>
        <v>Captured</v>
      </c>
      <c r="L15" s="1" t="s">
        <v>69</v>
      </c>
      <c r="M15" s="1">
        <f t="shared" si="5"/>
        <v>73</v>
      </c>
      <c r="N15" s="1" t="s">
        <v>24</v>
      </c>
      <c r="O15" s="1" t="str">
        <f>IFERROR(__xludf.DUMMYFUNCTION("Filter(merchant_master!$E$2:$E$6,E15=merchant_master!$B$2:$B$6)"),"APAC")</f>
        <v>APAC</v>
      </c>
      <c r="P15" s="1" t="s">
        <v>25</v>
      </c>
      <c r="Q15" s="1" t="s">
        <v>36</v>
      </c>
      <c r="R15" s="5">
        <f t="shared" si="6"/>
        <v>1</v>
      </c>
      <c r="S15" s="5">
        <f t="shared" si="7"/>
        <v>1</v>
      </c>
    </row>
    <row r="16" ht="15.75" customHeight="1">
      <c r="A16" s="1" t="s">
        <v>70</v>
      </c>
      <c r="B16" s="4">
        <v>46085.0</v>
      </c>
      <c r="C16" s="1" t="str">
        <f t="shared" si="1"/>
        <v>2026_03-04</v>
      </c>
      <c r="D16" s="1" t="s">
        <v>43</v>
      </c>
      <c r="E16" s="1" t="str">
        <f t="shared" si="2"/>
        <v>Alpha Mart</v>
      </c>
      <c r="F16" s="1">
        <v>130000.0</v>
      </c>
      <c r="G16" s="1">
        <f>IFERROR(__xludf.DUMMYFUNCTION("filter(exchange_rates!$C$2:C$19,B16=exchange_rates!$A$2:$A$19, I16=exchange_rates!$B$2:$B$19)"),0.012)</f>
        <v>0.012</v>
      </c>
      <c r="H16" s="1">
        <f t="shared" si="3"/>
        <v>1560</v>
      </c>
      <c r="I16" s="1" t="s">
        <v>21</v>
      </c>
      <c r="J16" s="1" t="s">
        <v>22</v>
      </c>
      <c r="K16" s="1" t="str">
        <f t="shared" si="4"/>
        <v>Captured</v>
      </c>
      <c r="L16" s="1" t="s">
        <v>71</v>
      </c>
      <c r="M16" s="1">
        <f t="shared" si="5"/>
        <v>52</v>
      </c>
      <c r="O16" s="1" t="str">
        <f>IFERROR(__xludf.DUMMYFUNCTION("Filter(merchant_master!$E$2:$E$6,E16=merchant_master!$B$2:$B$6)"),"APAC")</f>
        <v>APAC</v>
      </c>
      <c r="P16" s="1" t="s">
        <v>30</v>
      </c>
      <c r="Q16" s="1" t="s">
        <v>31</v>
      </c>
      <c r="R16" s="5">
        <f t="shared" si="6"/>
        <v>0</v>
      </c>
      <c r="S16" s="5">
        <f t="shared" si="7"/>
        <v>0</v>
      </c>
    </row>
    <row r="17" ht="15.75" customHeight="1">
      <c r="A17" s="1" t="s">
        <v>72</v>
      </c>
      <c r="B17" s="4">
        <v>46086.0</v>
      </c>
      <c r="C17" s="1" t="str">
        <f t="shared" si="1"/>
        <v>2026_03-05</v>
      </c>
      <c r="D17" s="1" t="s">
        <v>38</v>
      </c>
      <c r="E17" s="1" t="str">
        <f t="shared" si="2"/>
        <v>Beta Stores</v>
      </c>
      <c r="F17" s="1">
        <v>220000.0</v>
      </c>
      <c r="G17" s="1">
        <f>IFERROR(__xludf.DUMMYFUNCTION("filter(exchange_rates!$C$2:C$19,B17=exchange_rates!$A$2:$A$19, I17=exchange_rates!$B$2:$B$19)"),0.0118)</f>
        <v>0.0118</v>
      </c>
      <c r="H17" s="1">
        <f t="shared" si="3"/>
        <v>2596</v>
      </c>
      <c r="I17" s="1" t="s">
        <v>21</v>
      </c>
      <c r="J17" s="1" t="s">
        <v>73</v>
      </c>
      <c r="K17" s="1" t="str">
        <f t="shared" si="4"/>
        <v>Failed E05 Timeout</v>
      </c>
      <c r="L17" s="1" t="s">
        <v>74</v>
      </c>
      <c r="M17" s="1">
        <f t="shared" si="5"/>
        <v>69</v>
      </c>
      <c r="O17" s="1" t="str">
        <f>IFERROR(__xludf.DUMMYFUNCTION("Filter(merchant_master!$E$2:$E$6,E17=merchant_master!$B$2:$B$6)"),"APAC")</f>
        <v>APAC</v>
      </c>
      <c r="P17" s="1" t="s">
        <v>61</v>
      </c>
      <c r="Q17" s="1" t="s">
        <v>31</v>
      </c>
      <c r="R17" s="5">
        <f t="shared" si="6"/>
        <v>0</v>
      </c>
      <c r="S17" s="5">
        <f t="shared" si="7"/>
        <v>0</v>
      </c>
    </row>
    <row r="18" ht="15.75" customHeight="1">
      <c r="A18" s="1" t="s">
        <v>75</v>
      </c>
      <c r="B18" s="4">
        <v>46086.0</v>
      </c>
      <c r="C18" s="1" t="str">
        <f t="shared" si="1"/>
        <v>2026_03-05</v>
      </c>
      <c r="D18" s="1" t="s">
        <v>38</v>
      </c>
      <c r="E18" s="1" t="str">
        <f t="shared" si="2"/>
        <v>Beta Stores</v>
      </c>
      <c r="F18" s="1">
        <v>180000.0</v>
      </c>
      <c r="G18" s="1">
        <f>IFERROR(__xludf.DUMMYFUNCTION("filter(exchange_rates!$C$2:C$19,B18=exchange_rates!$A$2:$A$19, I18=exchange_rates!$B$2:$B$19)"),0.0118)</f>
        <v>0.0118</v>
      </c>
      <c r="H18" s="1">
        <f t="shared" si="3"/>
        <v>2124</v>
      </c>
      <c r="I18" s="1" t="s">
        <v>21</v>
      </c>
      <c r="J18" s="1" t="s">
        <v>76</v>
      </c>
      <c r="K18" s="1" t="str">
        <f t="shared" si="4"/>
        <v>Failed E05 Timeout</v>
      </c>
      <c r="L18" s="1" t="s">
        <v>77</v>
      </c>
      <c r="M18" s="1">
        <f t="shared" si="5"/>
        <v>72</v>
      </c>
      <c r="N18" s="1" t="s">
        <v>40</v>
      </c>
      <c r="O18" s="1" t="str">
        <f>IFERROR(__xludf.DUMMYFUNCTION("Filter(merchant_master!$E$2:$E$6,E18=merchant_master!$B$2:$B$6)"),"APAC")</f>
        <v>APAC</v>
      </c>
      <c r="P18" s="1" t="s">
        <v>61</v>
      </c>
      <c r="Q18" s="1" t="s">
        <v>31</v>
      </c>
      <c r="R18" s="5">
        <f t="shared" si="6"/>
        <v>0</v>
      </c>
      <c r="S18" s="5">
        <f t="shared" si="7"/>
        <v>1</v>
      </c>
    </row>
    <row r="19" ht="15.75" customHeight="1">
      <c r="A19" s="1" t="s">
        <v>78</v>
      </c>
      <c r="B19" s="4">
        <v>46086.0</v>
      </c>
      <c r="C19" s="1" t="str">
        <f t="shared" si="1"/>
        <v>2026_03-05</v>
      </c>
      <c r="D19" s="1" t="s">
        <v>33</v>
      </c>
      <c r="E19" s="1" t="str">
        <f t="shared" si="2"/>
        <v>Beta Stores</v>
      </c>
      <c r="F19" s="1">
        <v>145000.0</v>
      </c>
      <c r="G19" s="1">
        <f>IFERROR(__xludf.DUMMYFUNCTION("filter(exchange_rates!$C$2:C$19,B19=exchange_rates!$A$2:$A$19, I19=exchange_rates!$B$2:$B$19)"),0.0118)</f>
        <v>0.0118</v>
      </c>
      <c r="H19" s="1">
        <f t="shared" si="3"/>
        <v>1711</v>
      </c>
      <c r="I19" s="1" t="s">
        <v>21</v>
      </c>
      <c r="J19" s="1" t="s">
        <v>50</v>
      </c>
      <c r="K19" s="1" t="str">
        <f t="shared" si="4"/>
        <v>Chargeback</v>
      </c>
      <c r="L19" s="1" t="s">
        <v>79</v>
      </c>
      <c r="M19" s="1">
        <f t="shared" si="5"/>
        <v>86</v>
      </c>
      <c r="N19" s="1" t="s">
        <v>24</v>
      </c>
      <c r="O19" s="1" t="str">
        <f>IFERROR(__xludf.DUMMYFUNCTION("Filter(merchant_master!$E$2:$E$6,E19=merchant_master!$B$2:$B$6)"),"APAC")</f>
        <v>APAC</v>
      </c>
      <c r="P19" s="1" t="s">
        <v>61</v>
      </c>
      <c r="Q19" s="1" t="s">
        <v>26</v>
      </c>
      <c r="R19" s="5">
        <f t="shared" si="6"/>
        <v>0</v>
      </c>
      <c r="S19" s="5">
        <f t="shared" si="7"/>
        <v>1</v>
      </c>
    </row>
    <row r="20" ht="15.75" customHeight="1">
      <c r="A20" s="1" t="s">
        <v>80</v>
      </c>
      <c r="B20" s="4">
        <v>46086.0</v>
      </c>
      <c r="C20" s="1" t="str">
        <f t="shared" si="1"/>
        <v>2026_03-05</v>
      </c>
      <c r="D20" s="1" t="s">
        <v>49</v>
      </c>
      <c r="E20" s="1" t="str">
        <f t="shared" si="2"/>
        <v>Alpha Mart</v>
      </c>
      <c r="F20" s="1">
        <v>260000.0</v>
      </c>
      <c r="G20" s="1">
        <f>IFERROR(__xludf.DUMMYFUNCTION("filter(exchange_rates!$C$2:C$19,B20=exchange_rates!$A$2:$A$19, I20=exchange_rates!$B$2:$B$19)"),0.0118)</f>
        <v>0.0118</v>
      </c>
      <c r="H20" s="1">
        <f t="shared" si="3"/>
        <v>3068</v>
      </c>
      <c r="I20" s="1" t="s">
        <v>21</v>
      </c>
      <c r="J20" s="1" t="s">
        <v>76</v>
      </c>
      <c r="K20" s="1" t="str">
        <f t="shared" si="4"/>
        <v>Failed E05 Timeout</v>
      </c>
      <c r="L20" s="1" t="s">
        <v>81</v>
      </c>
      <c r="M20" s="1">
        <f t="shared" si="5"/>
        <v>67</v>
      </c>
      <c r="N20" s="1" t="s">
        <v>40</v>
      </c>
      <c r="O20" s="1" t="str">
        <f>IFERROR(__xludf.DUMMYFUNCTION("Filter(merchant_master!$E$2:$E$6,E20=merchant_master!$B$2:$B$6)"),"APAC")</f>
        <v>APAC</v>
      </c>
      <c r="P20" s="1" t="s">
        <v>61</v>
      </c>
      <c r="Q20" s="1" t="s">
        <v>47</v>
      </c>
      <c r="R20" s="5">
        <f t="shared" si="6"/>
        <v>0</v>
      </c>
      <c r="S20" s="5">
        <f t="shared" si="7"/>
        <v>0</v>
      </c>
    </row>
    <row r="21" ht="15.75" customHeight="1">
      <c r="A21" s="1" t="s">
        <v>82</v>
      </c>
      <c r="B21" s="4">
        <v>46086.0</v>
      </c>
      <c r="C21" s="1" t="str">
        <f t="shared" si="1"/>
        <v>2026_03-05</v>
      </c>
      <c r="D21" s="1" t="s">
        <v>43</v>
      </c>
      <c r="E21" s="1" t="str">
        <f t="shared" si="2"/>
        <v>Alpha Mart</v>
      </c>
      <c r="F21" s="1">
        <v>520000.0</v>
      </c>
      <c r="G21" s="1">
        <f>IFERROR(__xludf.DUMMYFUNCTION("filter(exchange_rates!$C$2:C$19,B21=exchange_rates!$A$2:$A$19, I21=exchange_rates!$B$2:$B$19)"),0.0118)</f>
        <v>0.0118</v>
      </c>
      <c r="H21" s="1">
        <f t="shared" si="3"/>
        <v>6136</v>
      </c>
      <c r="I21" s="1" t="s">
        <v>21</v>
      </c>
      <c r="J21" s="1" t="s">
        <v>29</v>
      </c>
      <c r="K21" s="1" t="str">
        <f t="shared" si="4"/>
        <v>Captured</v>
      </c>
      <c r="L21" s="1">
        <v>75.0</v>
      </c>
      <c r="M21" s="1">
        <f t="shared" si="5"/>
        <v>75</v>
      </c>
      <c r="N21" s="1" t="s">
        <v>24</v>
      </c>
      <c r="O21" s="1" t="str">
        <f>IFERROR(__xludf.DUMMYFUNCTION("Filter(merchant_master!$E$2:$E$6,E21=merchant_master!$B$2:$B$6)"),"APAC")</f>
        <v>APAC</v>
      </c>
      <c r="P21" s="1" t="s">
        <v>46</v>
      </c>
      <c r="Q21" s="1" t="s">
        <v>26</v>
      </c>
      <c r="R21" s="5">
        <f t="shared" si="6"/>
        <v>1</v>
      </c>
      <c r="S21" s="5">
        <f t="shared" si="7"/>
        <v>1</v>
      </c>
    </row>
    <row r="22" ht="15.75" customHeight="1">
      <c r="A22" s="1" t="s">
        <v>83</v>
      </c>
      <c r="B22" s="4">
        <v>46087.0</v>
      </c>
      <c r="C22" s="1" t="str">
        <f t="shared" si="1"/>
        <v>2026_03-06</v>
      </c>
      <c r="D22" s="1" t="s">
        <v>84</v>
      </c>
      <c r="E22" s="1" t="str">
        <f t="shared" si="2"/>
        <v>Beta Stores</v>
      </c>
      <c r="F22" s="1">
        <v>330000.0</v>
      </c>
      <c r="G22" s="1">
        <f>IFERROR(__xludf.DUMMYFUNCTION("filter(exchange_rates!$C$2:C$19,B22=exchange_rates!$A$2:$A$19, I22=exchange_rates!$B$2:$B$19)"),0.0119)</f>
        <v>0.0119</v>
      </c>
      <c r="H22" s="1">
        <f t="shared" si="3"/>
        <v>3927</v>
      </c>
      <c r="I22" s="1" t="s">
        <v>21</v>
      </c>
      <c r="J22" s="1" t="s">
        <v>22</v>
      </c>
      <c r="K22" s="1" t="str">
        <f t="shared" si="4"/>
        <v>Captured</v>
      </c>
      <c r="L22" s="1" t="s">
        <v>85</v>
      </c>
      <c r="M22" s="1">
        <f t="shared" si="5"/>
        <v>63</v>
      </c>
      <c r="O22" s="1" t="str">
        <f>IFERROR(__xludf.DUMMYFUNCTION("Filter(merchant_master!$E$2:$E$6,E22=merchant_master!$B$2:$B$6)"),"APAC")</f>
        <v>APAC</v>
      </c>
      <c r="P22" s="1" t="s">
        <v>52</v>
      </c>
      <c r="Q22" s="1" t="s">
        <v>31</v>
      </c>
      <c r="R22" s="5">
        <f t="shared" si="6"/>
        <v>0</v>
      </c>
      <c r="S22" s="5">
        <f t="shared" si="7"/>
        <v>0</v>
      </c>
    </row>
    <row r="23" ht="15.75" customHeight="1">
      <c r="A23" s="1" t="s">
        <v>86</v>
      </c>
      <c r="B23" s="4">
        <v>46087.0</v>
      </c>
      <c r="C23" s="1" t="str">
        <f t="shared" si="1"/>
        <v>2026_03-06</v>
      </c>
      <c r="D23" s="1" t="s">
        <v>28</v>
      </c>
      <c r="E23" s="1" t="str">
        <f t="shared" si="2"/>
        <v>Alpha Mart</v>
      </c>
      <c r="F23" s="1">
        <v>410000.0</v>
      </c>
      <c r="G23" s="1">
        <f>IFERROR(__xludf.DUMMYFUNCTION("filter(exchange_rates!$C$2:C$19,B23=exchange_rates!$A$2:$A$19, I23=exchange_rates!$B$2:$B$19)"),0.0119)</f>
        <v>0.0119</v>
      </c>
      <c r="H23" s="1">
        <f t="shared" si="3"/>
        <v>4879</v>
      </c>
      <c r="I23" s="1" t="s">
        <v>21</v>
      </c>
      <c r="J23" s="1" t="s">
        <v>22</v>
      </c>
      <c r="K23" s="1" t="str">
        <f t="shared" si="4"/>
        <v>Captured</v>
      </c>
      <c r="L23" s="1">
        <v>60.0</v>
      </c>
      <c r="M23" s="1">
        <f t="shared" si="5"/>
        <v>60</v>
      </c>
      <c r="N23" s="1" t="s">
        <v>24</v>
      </c>
      <c r="O23" s="1" t="str">
        <f>IFERROR(__xludf.DUMMYFUNCTION("Filter(merchant_master!$E$2:$E$6,E23=merchant_master!$B$2:$B$6)"),"APAC")</f>
        <v>APAC</v>
      </c>
      <c r="P23" s="1" t="s">
        <v>54</v>
      </c>
      <c r="Q23" s="1" t="s">
        <v>26</v>
      </c>
      <c r="R23" s="5">
        <f t="shared" si="6"/>
        <v>0</v>
      </c>
      <c r="S23" s="5">
        <f t="shared" si="7"/>
        <v>0</v>
      </c>
    </row>
    <row r="24" ht="15.75" customHeight="1">
      <c r="A24" s="1" t="s">
        <v>87</v>
      </c>
      <c r="B24" s="4">
        <v>46082.0</v>
      </c>
      <c r="C24" s="1" t="str">
        <f t="shared" si="1"/>
        <v>2026_03-01</v>
      </c>
      <c r="D24" s="1" t="s">
        <v>88</v>
      </c>
      <c r="E24" s="1" t="str">
        <f t="shared" si="2"/>
        <v>City Pharma</v>
      </c>
      <c r="F24" s="1">
        <v>5200.0</v>
      </c>
      <c r="G24" s="1">
        <f>IFERROR(__xludf.DUMMYFUNCTION("filter(exchange_rates!$C$2:C$19,B24=exchange_rates!$A$2:$A$19, I24=exchange_rates!$B$2:$B$19)"),1.08)</f>
        <v>1.08</v>
      </c>
      <c r="H24" s="1">
        <f t="shared" si="3"/>
        <v>5616</v>
      </c>
      <c r="I24" s="1" t="s">
        <v>89</v>
      </c>
      <c r="J24" s="1" t="s">
        <v>29</v>
      </c>
      <c r="K24" s="1" t="str">
        <f t="shared" si="4"/>
        <v>Captured</v>
      </c>
      <c r="L24" s="1">
        <v>42.0</v>
      </c>
      <c r="M24" s="1">
        <f t="shared" si="5"/>
        <v>42</v>
      </c>
      <c r="N24" s="1" t="s">
        <v>90</v>
      </c>
      <c r="O24" s="1" t="str">
        <f>IFERROR(__xludf.DUMMYFUNCTION("Filter(merchant_master!$E$2:$E$6,E24=merchant_master!$B$2:$B$6)"),"EU")</f>
        <v>EU</v>
      </c>
      <c r="P24" s="1" t="s">
        <v>35</v>
      </c>
      <c r="Q24" s="1" t="s">
        <v>31</v>
      </c>
      <c r="R24" s="5">
        <f t="shared" si="6"/>
        <v>0</v>
      </c>
      <c r="S24" s="5">
        <f t="shared" si="7"/>
        <v>0</v>
      </c>
    </row>
    <row r="25" ht="15.75" customHeight="1">
      <c r="A25" s="1" t="s">
        <v>91</v>
      </c>
      <c r="B25" s="4">
        <v>46083.0</v>
      </c>
      <c r="C25" s="1" t="str">
        <f t="shared" si="1"/>
        <v>2026_03-02</v>
      </c>
      <c r="D25" s="1" t="s">
        <v>92</v>
      </c>
      <c r="E25" s="1" t="str">
        <f t="shared" si="2"/>
        <v>Eco Home</v>
      </c>
      <c r="F25" s="1">
        <v>6100.0</v>
      </c>
      <c r="G25" s="1">
        <f>IFERROR(__xludf.DUMMYFUNCTION("filter(exchange_rates!$C$2:C$19,B25=exchange_rates!$A$2:$A$19, I25=exchange_rates!$B$2:$B$19)"),1.09)</f>
        <v>1.09</v>
      </c>
      <c r="H25" s="1">
        <f t="shared" si="3"/>
        <v>6649</v>
      </c>
      <c r="I25" s="1" t="s">
        <v>89</v>
      </c>
      <c r="J25" s="1" t="s">
        <v>50</v>
      </c>
      <c r="K25" s="1" t="str">
        <f t="shared" si="4"/>
        <v>Chargeback</v>
      </c>
      <c r="L25" s="1" t="s">
        <v>93</v>
      </c>
      <c r="M25" s="1">
        <f t="shared" si="5"/>
        <v>65</v>
      </c>
      <c r="N25" s="1" t="s">
        <v>90</v>
      </c>
      <c r="O25" s="1" t="str">
        <f>IFERROR(__xludf.DUMMYFUNCTION("Filter(merchant_master!$E$2:$E$6,E25=merchant_master!$B$2:$B$6)"),"EU")</f>
        <v>EU</v>
      </c>
      <c r="P25" s="1" t="s">
        <v>41</v>
      </c>
      <c r="Q25" s="1" t="s">
        <v>31</v>
      </c>
      <c r="R25" s="5">
        <f t="shared" si="6"/>
        <v>1</v>
      </c>
      <c r="S25" s="5">
        <f t="shared" si="7"/>
        <v>1</v>
      </c>
    </row>
    <row r="26" ht="15.75" customHeight="1">
      <c r="A26" s="1" t="s">
        <v>94</v>
      </c>
      <c r="B26" s="4">
        <v>46084.0</v>
      </c>
      <c r="C26" s="1" t="str">
        <f t="shared" si="1"/>
        <v>2026_03-03</v>
      </c>
      <c r="D26" s="1" t="s">
        <v>88</v>
      </c>
      <c r="E26" s="1" t="str">
        <f t="shared" si="2"/>
        <v>City Pharma</v>
      </c>
      <c r="F26" s="1">
        <v>2800.0</v>
      </c>
      <c r="G26" s="1">
        <f>IFERROR(__xludf.DUMMYFUNCTION("filter(exchange_rates!$C$2:C$19,B26=exchange_rates!$A$2:$A$19, I26=exchange_rates!$B$2:$B$19)"),1.08)</f>
        <v>1.08</v>
      </c>
      <c r="H26" s="1">
        <f t="shared" si="3"/>
        <v>3024</v>
      </c>
      <c r="I26" s="1" t="s">
        <v>89</v>
      </c>
      <c r="J26" s="1" t="s">
        <v>22</v>
      </c>
      <c r="K26" s="1" t="str">
        <f t="shared" si="4"/>
        <v>Captured</v>
      </c>
      <c r="L26" s="1">
        <v>38.0</v>
      </c>
      <c r="M26" s="1">
        <f t="shared" si="5"/>
        <v>38</v>
      </c>
      <c r="N26" s="1" t="s">
        <v>95</v>
      </c>
      <c r="O26" s="1" t="str">
        <f>IFERROR(__xludf.DUMMYFUNCTION("Filter(merchant_master!$E$2:$E$6,E26=merchant_master!$B$2:$B$6)"),"EU")</f>
        <v>EU</v>
      </c>
      <c r="P26" s="1" t="s">
        <v>46</v>
      </c>
      <c r="Q26" s="1" t="s">
        <v>47</v>
      </c>
      <c r="R26" s="5">
        <f t="shared" si="6"/>
        <v>0</v>
      </c>
      <c r="S26" s="5">
        <f t="shared" si="7"/>
        <v>0</v>
      </c>
    </row>
    <row r="27" ht="15.75" customHeight="1">
      <c r="A27" s="1" t="s">
        <v>96</v>
      </c>
      <c r="B27" s="4">
        <v>46086.0</v>
      </c>
      <c r="C27" s="1" t="str">
        <f t="shared" si="1"/>
        <v>2026_03-05</v>
      </c>
      <c r="D27" s="1" t="s">
        <v>92</v>
      </c>
      <c r="E27" s="1" t="str">
        <f t="shared" si="2"/>
        <v>Eco Home</v>
      </c>
      <c r="F27" s="1">
        <v>3300.0</v>
      </c>
      <c r="G27" s="1">
        <f>IFERROR(__xludf.DUMMYFUNCTION("filter(exchange_rates!$C$2:C$19,B27=exchange_rates!$A$2:$A$19, I27=exchange_rates!$B$2:$B$19)"),1.09)</f>
        <v>1.09</v>
      </c>
      <c r="H27" s="1">
        <f t="shared" si="3"/>
        <v>3597</v>
      </c>
      <c r="I27" s="1" t="s">
        <v>89</v>
      </c>
      <c r="J27" s="1" t="s">
        <v>76</v>
      </c>
      <c r="K27" s="1" t="str">
        <f t="shared" si="4"/>
        <v>Failed E05 Timeout</v>
      </c>
      <c r="L27" s="1">
        <v>44.0</v>
      </c>
      <c r="M27" s="1">
        <f t="shared" si="5"/>
        <v>44</v>
      </c>
      <c r="N27" s="1" t="s">
        <v>90</v>
      </c>
      <c r="O27" s="1" t="str">
        <f>IFERROR(__xludf.DUMMYFUNCTION("Filter(merchant_master!$E$2:$E$6,E27=merchant_master!$B$2:$B$6)"),"EU")</f>
        <v>EU</v>
      </c>
      <c r="P27" s="1" t="s">
        <v>52</v>
      </c>
      <c r="Q27" s="1" t="s">
        <v>36</v>
      </c>
      <c r="R27" s="5">
        <f t="shared" si="6"/>
        <v>0</v>
      </c>
      <c r="S27" s="5">
        <f t="shared" si="7"/>
        <v>0</v>
      </c>
    </row>
    <row r="28" ht="15.75" customHeight="1">
      <c r="A28" s="1" t="s">
        <v>97</v>
      </c>
      <c r="B28" s="4">
        <v>46082.0</v>
      </c>
      <c r="C28" s="1" t="str">
        <f t="shared" si="1"/>
        <v>2026_03-01</v>
      </c>
      <c r="D28" s="1" t="s">
        <v>98</v>
      </c>
      <c r="E28" s="1" t="str">
        <f t="shared" si="2"/>
        <v>Delta Travels</v>
      </c>
      <c r="F28" s="1">
        <v>7200.0</v>
      </c>
      <c r="G28" s="1">
        <f>IFERROR(__xludf.DUMMYFUNCTION("filter(exchange_rates!$C$2:C$19,B28=exchange_rates!$A$2:$A$19, I28=exchange_rates!$B$2:$B$19)"),1.0)</f>
        <v>1</v>
      </c>
      <c r="H28" s="1">
        <f t="shared" si="3"/>
        <v>7200</v>
      </c>
      <c r="I28" s="1" t="s">
        <v>99</v>
      </c>
      <c r="J28" s="1" t="s">
        <v>22</v>
      </c>
      <c r="K28" s="1" t="str">
        <f t="shared" si="4"/>
        <v>Captured</v>
      </c>
      <c r="L28" s="1">
        <v>49.0</v>
      </c>
      <c r="M28" s="1">
        <f t="shared" si="5"/>
        <v>49</v>
      </c>
      <c r="N28" s="1" t="s">
        <v>100</v>
      </c>
      <c r="O28" s="1" t="str">
        <f>IFERROR(__xludf.DUMMYFUNCTION("Filter(merchant_master!$E$2:$E$6,E28=merchant_master!$B$2:$B$6)"),"US")</f>
        <v>US</v>
      </c>
      <c r="P28" s="1" t="s">
        <v>54</v>
      </c>
      <c r="Q28" s="1" t="s">
        <v>31</v>
      </c>
      <c r="R28" s="5">
        <f t="shared" si="6"/>
        <v>1</v>
      </c>
      <c r="S28" s="5">
        <f t="shared" si="7"/>
        <v>0</v>
      </c>
    </row>
    <row r="29" ht="15.75" customHeight="1">
      <c r="A29" s="1" t="s">
        <v>101</v>
      </c>
      <c r="B29" s="4">
        <v>46083.0</v>
      </c>
      <c r="C29" s="1" t="str">
        <f t="shared" si="1"/>
        <v>2026_03-02</v>
      </c>
      <c r="D29" s="1" t="s">
        <v>102</v>
      </c>
      <c r="E29" s="1" t="str">
        <f t="shared" si="2"/>
        <v>Delta Travels</v>
      </c>
      <c r="F29" s="1">
        <v>3100.0</v>
      </c>
      <c r="G29" s="1">
        <f>IFERROR(__xludf.DUMMYFUNCTION("filter(exchange_rates!$C$2:C$19,B29=exchange_rates!$A$2:$A$19, I29=exchange_rates!$B$2:$B$19)"),1.0)</f>
        <v>1</v>
      </c>
      <c r="H29" s="1">
        <f t="shared" si="3"/>
        <v>3100</v>
      </c>
      <c r="I29" s="1" t="s">
        <v>99</v>
      </c>
      <c r="J29" s="1" t="s">
        <v>34</v>
      </c>
      <c r="K29" s="1" t="str">
        <f t="shared" si="4"/>
        <v>Captured</v>
      </c>
      <c r="L29" s="1" t="s">
        <v>103</v>
      </c>
      <c r="M29" s="1">
        <f t="shared" si="5"/>
        <v>41</v>
      </c>
      <c r="N29" s="1" t="s">
        <v>104</v>
      </c>
      <c r="O29" s="1" t="str">
        <f>IFERROR(__xludf.DUMMYFUNCTION("Filter(merchant_master!$E$2:$E$6,E29=merchant_master!$B$2:$B$6)"),"US")</f>
        <v>US</v>
      </c>
      <c r="P29" s="1" t="s">
        <v>61</v>
      </c>
      <c r="Q29" s="1" t="s">
        <v>31</v>
      </c>
      <c r="R29" s="5">
        <f t="shared" si="6"/>
        <v>0</v>
      </c>
      <c r="S29" s="5">
        <f t="shared" si="7"/>
        <v>0</v>
      </c>
    </row>
    <row r="30" ht="15.75" customHeight="1">
      <c r="A30" s="1" t="s">
        <v>105</v>
      </c>
      <c r="B30" s="4">
        <v>46085.0</v>
      </c>
      <c r="C30" s="1" t="str">
        <f t="shared" si="1"/>
        <v>2026_03-04</v>
      </c>
      <c r="D30" s="1" t="s">
        <v>106</v>
      </c>
      <c r="E30" s="1" t="str">
        <f t="shared" si="2"/>
        <v>Delta Travels</v>
      </c>
      <c r="F30" s="1">
        <v>2500.0</v>
      </c>
      <c r="G30" s="1">
        <f>IFERROR(__xludf.DUMMYFUNCTION("filter(exchange_rates!$C$2:C$19,B30=exchange_rates!$A$2:$A$19, I30=exchange_rates!$B$2:$B$19)"),1.0)</f>
        <v>1</v>
      </c>
      <c r="H30" s="1">
        <f t="shared" si="3"/>
        <v>2500</v>
      </c>
      <c r="I30" s="1" t="s">
        <v>99</v>
      </c>
      <c r="J30" s="1" t="s">
        <v>50</v>
      </c>
      <c r="K30" s="1" t="str">
        <f t="shared" si="4"/>
        <v>Chargeback</v>
      </c>
      <c r="L30" s="1" t="s">
        <v>107</v>
      </c>
      <c r="M30" s="1">
        <f t="shared" si="5"/>
        <v>58</v>
      </c>
      <c r="N30" s="1" t="s">
        <v>104</v>
      </c>
      <c r="O30" s="1" t="str">
        <f>IFERROR(__xludf.DUMMYFUNCTION("Filter(merchant_master!$E$2:$E$6,E30=merchant_master!$B$2:$B$6)"),"US")</f>
        <v>US</v>
      </c>
      <c r="P30" s="1" t="s">
        <v>64</v>
      </c>
      <c r="Q30" s="1" t="s">
        <v>47</v>
      </c>
      <c r="R30" s="5">
        <f t="shared" si="6"/>
        <v>0</v>
      </c>
      <c r="S30" s="5">
        <f t="shared" si="7"/>
        <v>1</v>
      </c>
    </row>
    <row r="31" ht="15.75" customHeight="1">
      <c r="A31" s="1" t="s">
        <v>108</v>
      </c>
      <c r="B31" s="4">
        <v>46087.0</v>
      </c>
      <c r="C31" s="1" t="str">
        <f t="shared" si="1"/>
        <v>2026_03-06</v>
      </c>
      <c r="D31" s="1" t="s">
        <v>98</v>
      </c>
      <c r="E31" s="1" t="str">
        <f t="shared" si="2"/>
        <v>Delta Travels</v>
      </c>
      <c r="F31" s="1">
        <v>1800.0</v>
      </c>
      <c r="G31" s="1">
        <f>IFERROR(__xludf.DUMMYFUNCTION("filter(exchange_rates!$C$2:C$19,B31=exchange_rates!$A$2:$A$19, I31=exchange_rates!$B$2:$B$19)"),1.0)</f>
        <v>1</v>
      </c>
      <c r="H31" s="1">
        <f t="shared" si="3"/>
        <v>1800</v>
      </c>
      <c r="I31" s="1" t="s">
        <v>99</v>
      </c>
      <c r="J31" s="1" t="s">
        <v>76</v>
      </c>
      <c r="K31" s="1" t="str">
        <f t="shared" si="4"/>
        <v>Failed E05 Timeout</v>
      </c>
      <c r="L31" s="1" t="s">
        <v>109</v>
      </c>
      <c r="M31" s="1">
        <f t="shared" si="5"/>
        <v>47</v>
      </c>
      <c r="N31" s="1" t="s">
        <v>104</v>
      </c>
      <c r="O31" s="1" t="str">
        <f>IFERROR(__xludf.DUMMYFUNCTION("Filter(merchant_master!$E$2:$E$6,E31=merchant_master!$B$2:$B$6)"),"US")</f>
        <v>US</v>
      </c>
      <c r="P31" s="1" t="s">
        <v>67</v>
      </c>
      <c r="Q31" s="1" t="s">
        <v>26</v>
      </c>
      <c r="R31" s="5">
        <f t="shared" si="6"/>
        <v>0</v>
      </c>
      <c r="S31" s="5">
        <f t="shared" si="7"/>
        <v>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115</v>
      </c>
      <c r="B1" s="7" t="s">
        <v>3</v>
      </c>
      <c r="C1" s="7" t="s">
        <v>116</v>
      </c>
      <c r="D1" s="7" t="s">
        <v>117</v>
      </c>
      <c r="E1" s="7" t="s">
        <v>118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119</v>
      </c>
      <c r="B2" s="3" t="s">
        <v>43</v>
      </c>
      <c r="C2" s="3" t="s">
        <v>120</v>
      </c>
      <c r="D2" s="3" t="s">
        <v>121</v>
      </c>
      <c r="E2" s="3" t="s">
        <v>24</v>
      </c>
    </row>
    <row r="3">
      <c r="A3" s="3" t="s">
        <v>122</v>
      </c>
      <c r="B3" s="3" t="s">
        <v>57</v>
      </c>
      <c r="C3" s="3" t="s">
        <v>123</v>
      </c>
      <c r="D3" s="3" t="s">
        <v>124</v>
      </c>
      <c r="E3" s="3" t="s">
        <v>24</v>
      </c>
    </row>
    <row r="4">
      <c r="A4" s="3" t="s">
        <v>125</v>
      </c>
      <c r="B4" s="3" t="s">
        <v>88</v>
      </c>
      <c r="C4" s="3" t="s">
        <v>126</v>
      </c>
      <c r="D4" s="3" t="s">
        <v>127</v>
      </c>
      <c r="E4" s="3" t="s">
        <v>90</v>
      </c>
    </row>
    <row r="5">
      <c r="A5" s="3" t="s">
        <v>128</v>
      </c>
      <c r="B5" s="3" t="s">
        <v>102</v>
      </c>
      <c r="C5" s="3" t="s">
        <v>129</v>
      </c>
      <c r="D5" s="3" t="s">
        <v>130</v>
      </c>
      <c r="E5" s="3" t="s">
        <v>104</v>
      </c>
    </row>
    <row r="6">
      <c r="A6" s="3" t="s">
        <v>131</v>
      </c>
      <c r="B6" s="3" t="s">
        <v>92</v>
      </c>
      <c r="C6" s="3" t="s">
        <v>132</v>
      </c>
      <c r="D6" s="3" t="s">
        <v>133</v>
      </c>
      <c r="E6" s="3" t="s">
        <v>90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0</v>
      </c>
      <c r="B1" s="7" t="s">
        <v>1</v>
      </c>
      <c r="C1" s="7" t="s">
        <v>115</v>
      </c>
      <c r="D1" s="7" t="s">
        <v>134</v>
      </c>
      <c r="E1" s="7" t="s">
        <v>9</v>
      </c>
      <c r="F1" s="7" t="s">
        <v>16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135</v>
      </c>
      <c r="B2" s="10">
        <v>46082.0</v>
      </c>
      <c r="C2" s="3" t="s">
        <v>119</v>
      </c>
      <c r="D2" s="3">
        <v>1200.0</v>
      </c>
      <c r="E2" s="3" t="s">
        <v>136</v>
      </c>
      <c r="F2" s="3" t="s">
        <v>26</v>
      </c>
    </row>
    <row r="3">
      <c r="A3" s="3" t="s">
        <v>137</v>
      </c>
      <c r="B3" s="10">
        <v>46082.0</v>
      </c>
      <c r="C3" s="3" t="s">
        <v>122</v>
      </c>
      <c r="D3" s="3">
        <v>900.0</v>
      </c>
      <c r="E3" s="3" t="s">
        <v>136</v>
      </c>
      <c r="F3" s="3" t="s">
        <v>31</v>
      </c>
    </row>
    <row r="4">
      <c r="A4" s="3" t="s">
        <v>138</v>
      </c>
      <c r="B4" s="10">
        <v>46083.0</v>
      </c>
      <c r="C4" s="3" t="s">
        <v>119</v>
      </c>
      <c r="D4" s="3">
        <v>500.0</v>
      </c>
      <c r="E4" s="3" t="s">
        <v>136</v>
      </c>
      <c r="F4" s="3" t="s">
        <v>47</v>
      </c>
    </row>
    <row r="5">
      <c r="A5" s="3" t="s">
        <v>139</v>
      </c>
      <c r="B5" s="10">
        <v>46084.0</v>
      </c>
      <c r="C5" s="3" t="s">
        <v>128</v>
      </c>
      <c r="D5" s="3">
        <v>7200.0</v>
      </c>
      <c r="E5" s="3" t="s">
        <v>140</v>
      </c>
      <c r="F5" s="3" t="s">
        <v>31</v>
      </c>
    </row>
    <row r="6">
      <c r="A6" s="3" t="s">
        <v>141</v>
      </c>
      <c r="B6" s="10">
        <v>46084.0</v>
      </c>
      <c r="C6" s="3" t="s">
        <v>122</v>
      </c>
      <c r="D6" s="3">
        <v>950.0</v>
      </c>
      <c r="E6" s="3" t="s">
        <v>136</v>
      </c>
      <c r="F6" s="3" t="s">
        <v>26</v>
      </c>
    </row>
    <row r="7">
      <c r="A7" s="3" t="s">
        <v>142</v>
      </c>
      <c r="B7" s="10">
        <v>46085.0</v>
      </c>
      <c r="C7" s="3" t="s">
        <v>131</v>
      </c>
      <c r="D7" s="3">
        <v>3300.0</v>
      </c>
      <c r="E7" s="3" t="s">
        <v>140</v>
      </c>
      <c r="F7" s="3" t="s">
        <v>36</v>
      </c>
    </row>
    <row r="8">
      <c r="A8" s="3" t="s">
        <v>143</v>
      </c>
      <c r="B8" s="10">
        <v>46085.0</v>
      </c>
      <c r="C8" s="3" t="s">
        <v>119</v>
      </c>
      <c r="D8" s="3">
        <v>600.0</v>
      </c>
      <c r="E8" s="3" t="s">
        <v>136</v>
      </c>
      <c r="F8" s="3" t="s">
        <v>31</v>
      </c>
    </row>
    <row r="9">
      <c r="A9" s="3" t="s">
        <v>144</v>
      </c>
      <c r="B9" s="10">
        <v>46086.0</v>
      </c>
      <c r="C9" s="3" t="s">
        <v>122</v>
      </c>
      <c r="D9" s="3">
        <v>4100.0</v>
      </c>
      <c r="E9" s="3" t="s">
        <v>136</v>
      </c>
      <c r="F9" s="3" t="s">
        <v>31</v>
      </c>
    </row>
    <row r="10">
      <c r="A10" s="3" t="s">
        <v>145</v>
      </c>
      <c r="B10" s="10">
        <v>46086.0</v>
      </c>
      <c r="C10" s="3" t="s">
        <v>125</v>
      </c>
      <c r="D10" s="3">
        <v>1800.0</v>
      </c>
      <c r="E10" s="3" t="s">
        <v>136</v>
      </c>
      <c r="F10" s="3" t="s">
        <v>31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146</v>
      </c>
      <c r="B1" s="7" t="s">
        <v>8</v>
      </c>
      <c r="C1" s="7" t="s">
        <v>147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>
        <v>46082.0</v>
      </c>
      <c r="B2" s="3" t="s">
        <v>21</v>
      </c>
      <c r="C2" s="3">
        <v>0.0119</v>
      </c>
    </row>
    <row r="3">
      <c r="A3" s="10">
        <v>46082.0</v>
      </c>
      <c r="B3" s="3" t="s">
        <v>89</v>
      </c>
      <c r="C3" s="3">
        <v>1.08</v>
      </c>
    </row>
    <row r="4">
      <c r="A4" s="10">
        <v>46082.0</v>
      </c>
      <c r="B4" s="3" t="s">
        <v>99</v>
      </c>
      <c r="C4" s="3">
        <v>1.0</v>
      </c>
    </row>
    <row r="5">
      <c r="A5" s="10">
        <v>46083.0</v>
      </c>
      <c r="B5" s="3" t="s">
        <v>21</v>
      </c>
      <c r="C5" s="3">
        <v>0.012</v>
      </c>
    </row>
    <row r="6">
      <c r="A6" s="10">
        <v>46083.0</v>
      </c>
      <c r="B6" s="3" t="s">
        <v>89</v>
      </c>
      <c r="C6" s="3">
        <v>1.09</v>
      </c>
    </row>
    <row r="7">
      <c r="A7" s="10">
        <v>46083.0</v>
      </c>
      <c r="B7" s="3" t="s">
        <v>99</v>
      </c>
      <c r="C7" s="3">
        <v>1.0</v>
      </c>
    </row>
    <row r="8">
      <c r="A8" s="10">
        <v>46084.0</v>
      </c>
      <c r="B8" s="3" t="s">
        <v>21</v>
      </c>
      <c r="C8" s="3">
        <v>0.0121</v>
      </c>
    </row>
    <row r="9">
      <c r="A9" s="10">
        <v>46084.0</v>
      </c>
      <c r="B9" s="3" t="s">
        <v>89</v>
      </c>
      <c r="C9" s="3">
        <v>1.08</v>
      </c>
    </row>
    <row r="10">
      <c r="A10" s="10">
        <v>46084.0</v>
      </c>
      <c r="B10" s="3" t="s">
        <v>99</v>
      </c>
      <c r="C10" s="3">
        <v>1.0</v>
      </c>
    </row>
    <row r="11">
      <c r="A11" s="10">
        <v>46085.0</v>
      </c>
      <c r="B11" s="3" t="s">
        <v>21</v>
      </c>
      <c r="C11" s="3">
        <v>0.012</v>
      </c>
    </row>
    <row r="12">
      <c r="A12" s="10">
        <v>46085.0</v>
      </c>
      <c r="B12" s="3" t="s">
        <v>89</v>
      </c>
      <c r="C12" s="3">
        <v>1.07</v>
      </c>
    </row>
    <row r="13">
      <c r="A13" s="10">
        <v>46085.0</v>
      </c>
      <c r="B13" s="3" t="s">
        <v>99</v>
      </c>
      <c r="C13" s="3">
        <v>1.0</v>
      </c>
    </row>
    <row r="14">
      <c r="A14" s="10">
        <v>46086.0</v>
      </c>
      <c r="B14" s="3" t="s">
        <v>21</v>
      </c>
      <c r="C14" s="3">
        <v>0.0118</v>
      </c>
    </row>
    <row r="15">
      <c r="A15" s="10">
        <v>46086.0</v>
      </c>
      <c r="B15" s="3" t="s">
        <v>89</v>
      </c>
      <c r="C15" s="3">
        <v>1.09</v>
      </c>
    </row>
    <row r="16">
      <c r="A16" s="10">
        <v>46086.0</v>
      </c>
      <c r="B16" s="3" t="s">
        <v>99</v>
      </c>
      <c r="C16" s="3">
        <v>1.0</v>
      </c>
    </row>
    <row r="17">
      <c r="A17" s="10">
        <v>46087.0</v>
      </c>
      <c r="B17" s="3" t="s">
        <v>21</v>
      </c>
      <c r="C17" s="3">
        <v>0.0119</v>
      </c>
    </row>
    <row r="18">
      <c r="A18" s="10">
        <v>46087.0</v>
      </c>
      <c r="B18" s="3" t="s">
        <v>89</v>
      </c>
      <c r="C18" s="3">
        <v>1.08</v>
      </c>
    </row>
    <row r="19">
      <c r="A19" s="10">
        <v>46087.0</v>
      </c>
      <c r="B19" s="3" t="s">
        <v>99</v>
      </c>
      <c r="C19" s="3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3.5" customHeight="1">
      <c r="A1" s="7" t="s">
        <v>0</v>
      </c>
      <c r="B1" s="7" t="s">
        <v>1</v>
      </c>
      <c r="C1" s="7" t="s">
        <v>115</v>
      </c>
      <c r="D1" s="7" t="s">
        <v>134</v>
      </c>
      <c r="E1" s="7" t="s">
        <v>9</v>
      </c>
      <c r="F1" s="7" t="s">
        <v>16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135</v>
      </c>
      <c r="B2" s="10">
        <v>46082.0</v>
      </c>
      <c r="C2" s="3" t="s">
        <v>119</v>
      </c>
      <c r="D2" s="3">
        <v>1200.0</v>
      </c>
      <c r="E2" s="3" t="s">
        <v>136</v>
      </c>
      <c r="F2" s="3" t="s">
        <v>26</v>
      </c>
    </row>
    <row r="3">
      <c r="A3" s="3" t="s">
        <v>137</v>
      </c>
      <c r="B3" s="10">
        <v>46082.0</v>
      </c>
      <c r="C3" s="3" t="s">
        <v>122</v>
      </c>
      <c r="D3" s="3">
        <v>850.0</v>
      </c>
      <c r="E3" s="3" t="s">
        <v>136</v>
      </c>
      <c r="F3" s="3" t="s">
        <v>31</v>
      </c>
    </row>
    <row r="4">
      <c r="A4" s="3" t="s">
        <v>138</v>
      </c>
      <c r="B4" s="10">
        <v>46083.0</v>
      </c>
      <c r="C4" s="3" t="s">
        <v>119</v>
      </c>
      <c r="D4" s="3">
        <v>500.0</v>
      </c>
      <c r="E4" s="3" t="s">
        <v>136</v>
      </c>
      <c r="F4" s="3" t="s">
        <v>47</v>
      </c>
    </row>
    <row r="5">
      <c r="A5" s="3" t="s">
        <v>148</v>
      </c>
      <c r="B5" s="10">
        <v>46083.0</v>
      </c>
      <c r="C5" s="3" t="s">
        <v>125</v>
      </c>
      <c r="D5" s="3">
        <v>2100.0</v>
      </c>
      <c r="E5" s="3" t="s">
        <v>136</v>
      </c>
      <c r="F5" s="3" t="s">
        <v>31</v>
      </c>
    </row>
    <row r="6">
      <c r="A6" s="3" t="s">
        <v>139</v>
      </c>
      <c r="B6" s="10">
        <v>46084.0</v>
      </c>
      <c r="C6" s="3" t="s">
        <v>128</v>
      </c>
      <c r="D6" s="3">
        <v>7200.0</v>
      </c>
      <c r="E6" s="3" t="s">
        <v>136</v>
      </c>
      <c r="F6" s="3" t="s">
        <v>31</v>
      </c>
    </row>
    <row r="7">
      <c r="A7" s="3" t="s">
        <v>141</v>
      </c>
      <c r="B7" s="10">
        <v>46084.0</v>
      </c>
      <c r="C7" s="3" t="s">
        <v>122</v>
      </c>
      <c r="D7" s="3">
        <v>950.0</v>
      </c>
      <c r="E7" s="3" t="s">
        <v>136</v>
      </c>
      <c r="F7" s="3" t="s">
        <v>26</v>
      </c>
    </row>
    <row r="8">
      <c r="A8" s="3" t="s">
        <v>142</v>
      </c>
      <c r="B8" s="10">
        <v>46085.0</v>
      </c>
      <c r="C8" s="3" t="s">
        <v>131</v>
      </c>
      <c r="D8" s="3">
        <v>3300.0</v>
      </c>
      <c r="E8" s="3" t="s">
        <v>140</v>
      </c>
      <c r="F8" s="3" t="s">
        <v>36</v>
      </c>
    </row>
    <row r="9">
      <c r="A9" s="3" t="s">
        <v>143</v>
      </c>
      <c r="B9" s="10">
        <v>46085.0</v>
      </c>
      <c r="C9" s="3" t="s">
        <v>119</v>
      </c>
      <c r="D9" s="3">
        <v>640.0</v>
      </c>
      <c r="E9" s="3" t="s">
        <v>136</v>
      </c>
      <c r="F9" s="3" t="s">
        <v>31</v>
      </c>
    </row>
    <row r="10">
      <c r="A10" s="3" t="s">
        <v>144</v>
      </c>
      <c r="B10" s="10">
        <v>46086.0</v>
      </c>
      <c r="C10" s="3" t="s">
        <v>122</v>
      </c>
      <c r="D10" s="3">
        <v>4100.0</v>
      </c>
      <c r="E10" s="3" t="s">
        <v>136</v>
      </c>
      <c r="F10" s="3" t="s">
        <v>31</v>
      </c>
    </row>
    <row r="11">
      <c r="A11" s="3" t="s">
        <v>149</v>
      </c>
      <c r="B11" s="10">
        <v>46086.0</v>
      </c>
      <c r="C11" s="3" t="s">
        <v>128</v>
      </c>
      <c r="D11" s="3">
        <v>2500.0</v>
      </c>
      <c r="E11" s="3" t="s">
        <v>136</v>
      </c>
      <c r="F11" s="3" t="s">
        <v>47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15</v>
      </c>
      <c r="B1" s="7" t="s">
        <v>150</v>
      </c>
      <c r="C1" s="7" t="s">
        <v>151</v>
      </c>
      <c r="D1" s="7" t="s">
        <v>152</v>
      </c>
      <c r="E1" s="7" t="s">
        <v>153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25</v>
      </c>
      <c r="B2" s="3" t="s">
        <v>154</v>
      </c>
      <c r="C2" s="10">
        <v>46032.0</v>
      </c>
      <c r="D2" s="3" t="s">
        <v>155</v>
      </c>
      <c r="E2" s="3" t="s">
        <v>156</v>
      </c>
    </row>
    <row r="3">
      <c r="A3" s="3" t="s">
        <v>30</v>
      </c>
      <c r="B3" s="3" t="s">
        <v>157</v>
      </c>
      <c r="C3" s="10">
        <v>46040.0</v>
      </c>
      <c r="D3" s="3" t="s">
        <v>155</v>
      </c>
      <c r="E3" s="3" t="s">
        <v>158</v>
      </c>
    </row>
    <row r="4">
      <c r="A4" s="3" t="s">
        <v>35</v>
      </c>
      <c r="B4" s="3" t="s">
        <v>159</v>
      </c>
      <c r="C4" s="10">
        <v>46044.0</v>
      </c>
      <c r="D4" s="3" t="s">
        <v>155</v>
      </c>
      <c r="E4" s="3" t="s">
        <v>156</v>
      </c>
    </row>
    <row r="5">
      <c r="A5" s="3" t="s">
        <v>41</v>
      </c>
      <c r="B5" s="3" t="s">
        <v>160</v>
      </c>
      <c r="C5" s="10">
        <v>46054.0</v>
      </c>
      <c r="D5" s="3" t="s">
        <v>161</v>
      </c>
      <c r="E5" s="3" t="s">
        <v>158</v>
      </c>
    </row>
    <row r="6">
      <c r="A6" s="3" t="s">
        <v>46</v>
      </c>
      <c r="B6" s="3" t="s">
        <v>162</v>
      </c>
      <c r="C6" s="10">
        <v>46057.0</v>
      </c>
      <c r="D6" s="3" t="s">
        <v>155</v>
      </c>
      <c r="E6" s="3" t="s">
        <v>156</v>
      </c>
    </row>
    <row r="7">
      <c r="A7" s="3" t="s">
        <v>52</v>
      </c>
      <c r="B7" s="3" t="s">
        <v>163</v>
      </c>
      <c r="C7" s="10">
        <v>46061.0</v>
      </c>
      <c r="D7" s="3" t="s">
        <v>155</v>
      </c>
      <c r="E7" s="3" t="s">
        <v>164</v>
      </c>
    </row>
    <row r="8">
      <c r="A8" s="3" t="s">
        <v>54</v>
      </c>
      <c r="B8" s="3" t="s">
        <v>165</v>
      </c>
      <c r="C8" s="10">
        <v>46065.0</v>
      </c>
      <c r="D8" s="3" t="s">
        <v>166</v>
      </c>
      <c r="E8" s="3" t="s">
        <v>156</v>
      </c>
    </row>
    <row r="9">
      <c r="A9" s="3" t="s">
        <v>61</v>
      </c>
      <c r="B9" s="3" t="s">
        <v>167</v>
      </c>
      <c r="C9" s="10">
        <v>46068.0</v>
      </c>
      <c r="D9" s="3" t="s">
        <v>155</v>
      </c>
      <c r="E9" s="3" t="s">
        <v>164</v>
      </c>
    </row>
    <row r="10">
      <c r="A10" s="3" t="s">
        <v>64</v>
      </c>
      <c r="B10" s="3" t="s">
        <v>168</v>
      </c>
      <c r="C10" s="10">
        <v>46073.0</v>
      </c>
      <c r="D10" s="3" t="s">
        <v>169</v>
      </c>
      <c r="E10" s="3" t="s">
        <v>156</v>
      </c>
    </row>
    <row r="11">
      <c r="A11" s="3" t="s">
        <v>67</v>
      </c>
      <c r="B11" s="3" t="s">
        <v>170</v>
      </c>
      <c r="C11" s="10">
        <v>46078.0</v>
      </c>
      <c r="D11" s="3" t="s">
        <v>169</v>
      </c>
      <c r="E11" s="3" t="s">
        <v>158</v>
      </c>
    </row>
  </sheetData>
  <drawing r:id="rId1"/>
</worksheet>
</file>